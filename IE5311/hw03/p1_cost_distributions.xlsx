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ure" sheetId="1" state="visible" r:id="rId1"/>
    <sheet name="Data" sheetId="2" state="visible" r:id="rId2"/>
    <sheet name="Chart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i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4" fontId="4" fillId="0" borderId="0" pivotButton="0" quotePrefix="0" xfId="0"/>
    <xf numFmtId="0" fontId="0" fillId="0" borderId="2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chartsheet" Target="/xl/chartsheets/sheet1.xml" Id="rId1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plotArea>
      <scatterChart>
        <scatterStyle val="line"/>
        <ser>
          <idx val="0"/>
          <order val="0"/>
          <tx>
            <v>Risk neutral</v>
          </tx>
          <spPr>
            <a:ln w="15875"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'Chart data'!$A$17:$A$36</f>
            </numRef>
          </xVal>
          <yVal>
            <numRef>
              <f>'Chart data'!$D$17:$D$36</f>
            </numRef>
          </yVal>
          <smooth val="0"/>
        </ser>
        <ser>
          <idx val="1"/>
          <order val="1"/>
          <tx>
            <v>Chance constrained</v>
          </tx>
          <spPr>
            <a:ln w="15875">
              <a:solidFill>
                <a:srgbClr val="0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'Chart data'!$B$17:$B$36</f>
            </numRef>
          </xVal>
          <yVal>
            <numRef>
              <f>'Chart data'!$D$17:$D$36</f>
            </numRef>
          </yVal>
          <smooth val="0"/>
        </ser>
        <ser>
          <idx val="2"/>
          <order val="2"/>
          <tx>
            <v>Chance and CVaR</v>
          </tx>
          <spPr>
            <a:ln w="15875">
              <a:solidFill>
                <a:srgbClr val="00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'Chart data'!$C$17:$C$36</f>
            </numRef>
          </xVal>
          <yVal>
            <numRef>
              <f>'Chart data'!$D$17:$D$36</f>
            </numRef>
          </yVal>
          <smooth val="0"/>
        </ser>
        <axId val="10"/>
        <axId val="20"/>
      </scatterChart>
      <valAx>
        <axId val="10"/>
        <scaling>
          <orientation val="minMax"/>
          <max val="12500"/>
          <min val="4500"/>
        </scaling>
        <delete val="0"/>
        <axPos val="l"/>
        <title>
          <tx>
            <rich>
              <a:bodyPr/>
              <a:p>
                <a:pPr>
                  <a:defRPr sz="1200">
                    <a:latin typeface="Times New Roman"/>
                  </a:defRPr>
                </a:pPr>
                <a:r>
                  <a:t>Total cost (dollars)</a:t>
                </a:r>
              </a:p>
            </rich>
          </tx>
        </title>
        <numFmt formatCode="#,##0" sourceLinked="0"/>
        <majorTickMark val="out"/>
        <minorTickMark val="none"/>
        <txPr>
          <a:bodyPr/>
          <a:p>
            <a:pPr>
              <a:defRPr sz="1100" b="0">
                <a:latin typeface="Times New Roman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  <max val="1"/>
          <min val="0"/>
        </scaling>
        <delete val="0"/>
        <axPos val="l"/>
        <title>
          <tx>
            <rich>
              <a:bodyPr/>
              <a:p>
                <a:pPr>
                  <a:defRPr sz="1200">
                    <a:latin typeface="Times New Roman"/>
                  </a:defRPr>
                </a:pPr>
                <a:r>
                  <a:t>Cumulative proportion</a:t>
                </a:r>
              </a:p>
            </rich>
          </tx>
        </title>
        <numFmt formatCode="0.0" sourceLinked="0"/>
        <majorTickMark val="out"/>
        <minorTickMark val="none"/>
        <txPr>
          <a:bodyPr/>
          <a:p>
            <a:pPr>
              <a:defRPr sz="1100" b="0">
                <a:latin typeface="Times New Roman"/>
              </a:defRPr>
            </a:pPr>
            <a:r>
              <a:t/>
            </a:r>
          </a:p>
        </txPr>
        <crossAx val="10"/>
      </valAx>
    </plotArea>
    <legend>
      <legendPos val="b"/>
      <txPr>
        <a:bodyPr/>
        <a:p>
          <a:pPr>
            <a:defRPr sz="1100" b="0">
              <a:latin typeface="Times New Roman"/>
            </a:defRPr>
          </a:pPr>
          <a:r>
            <a:t/>
          </a:r>
        </a:p>
      </txPr>
    </legend>
    <plotVisOnly val="1"/>
    <dispBlanksAs val="gap"/>
  </chart>
  <spPr>
    <a:ln>
      <a:noFill/>
      <a:prstDash val="solid"/>
    </a:ln>
  </spPr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Table 1</t>
        </is>
      </c>
    </row>
    <row r="2">
      <c r="A2" s="2" t="inlineStr">
        <is>
          <t>Total Cost by Scenario Under Each First-Stage Plan</t>
        </is>
      </c>
    </row>
    <row r="4" ht="30" customHeight="1">
      <c r="A4" s="3" t="inlineStr">
        <is>
          <t>Scenario</t>
        </is>
      </c>
      <c r="B4" s="3" t="inlineStr">
        <is>
          <t>Probability</t>
        </is>
      </c>
      <c r="C4" s="3" t="inlineStr">
        <is>
          <t>Draws</t>
        </is>
      </c>
      <c r="D4" s="3" t="inlineStr">
        <is>
          <t>Risk neutral</t>
        </is>
      </c>
      <c r="E4" s="3" t="inlineStr">
        <is>
          <t>Chance constrained</t>
        </is>
      </c>
      <c r="F4" s="3" t="inlineStr">
        <is>
          <t>Chance and CVaR</t>
        </is>
      </c>
    </row>
    <row r="5">
      <c r="A5" s="4" t="n">
        <v>1</v>
      </c>
      <c r="B5" s="5" t="n">
        <v>0.12</v>
      </c>
      <c r="C5" s="6" t="n">
        <v>627</v>
      </c>
      <c r="D5" s="7" t="n">
        <v>5032.142857142857</v>
      </c>
      <c r="E5" s="7" t="n">
        <v>5975</v>
      </c>
      <c r="F5" s="7" t="n">
        <v>6407.352941176471</v>
      </c>
    </row>
    <row r="6">
      <c r="A6" s="4" t="n">
        <v>2</v>
      </c>
      <c r="B6" s="5" t="n">
        <v>0.1</v>
      </c>
      <c r="C6" s="6" t="n">
        <v>505</v>
      </c>
      <c r="D6" s="7" t="n">
        <v>5097.642857142857</v>
      </c>
      <c r="E6" s="7" t="n">
        <v>6040</v>
      </c>
      <c r="F6" s="7" t="n">
        <v>6472.352941176471</v>
      </c>
    </row>
    <row r="7">
      <c r="A7" s="4" t="n">
        <v>3</v>
      </c>
      <c r="B7" s="5" t="n">
        <v>0.1</v>
      </c>
      <c r="C7" s="6" t="n">
        <v>532</v>
      </c>
      <c r="D7" s="7" t="n">
        <v>5187.142857142857</v>
      </c>
      <c r="E7" s="7" t="n">
        <v>6090</v>
      </c>
      <c r="F7" s="7" t="n">
        <v>6522.352941176471</v>
      </c>
    </row>
    <row r="8">
      <c r="A8" s="4" t="n">
        <v>4</v>
      </c>
      <c r="B8" s="5" t="n">
        <v>0.1</v>
      </c>
      <c r="C8" s="6" t="n">
        <v>492</v>
      </c>
      <c r="D8" s="7" t="n">
        <v>5299.642857142857</v>
      </c>
      <c r="E8" s="7" t="n">
        <v>6197.5</v>
      </c>
      <c r="F8" s="7" t="n">
        <v>6629.852941176471</v>
      </c>
    </row>
    <row r="9">
      <c r="A9" s="4" t="n">
        <v>5</v>
      </c>
      <c r="B9" s="5" t="n">
        <v>0.1</v>
      </c>
      <c r="C9" s="6" t="n">
        <v>510</v>
      </c>
      <c r="D9" s="7" t="n">
        <v>5340.142857142857</v>
      </c>
      <c r="E9" s="7" t="n">
        <v>6231</v>
      </c>
      <c r="F9" s="7" t="n">
        <v>6663.352941176471</v>
      </c>
    </row>
    <row r="10">
      <c r="A10" s="4" t="n">
        <v>6</v>
      </c>
      <c r="B10" s="5" t="n">
        <v>0.1</v>
      </c>
      <c r="C10" s="6" t="n">
        <v>491</v>
      </c>
      <c r="D10" s="7" t="n">
        <v>5604.178571428571</v>
      </c>
      <c r="E10" s="7" t="n">
        <v>6279.5</v>
      </c>
      <c r="F10" s="7" t="n">
        <v>6711.852941176471</v>
      </c>
    </row>
    <row r="11">
      <c r="A11" s="4" t="n">
        <v>7</v>
      </c>
      <c r="B11" s="5" t="n">
        <v>0.1</v>
      </c>
      <c r="C11" s="6" t="n">
        <v>527</v>
      </c>
      <c r="D11" s="7" t="n">
        <v>6338.857142857142</v>
      </c>
      <c r="E11" s="7" t="n">
        <v>6365.625</v>
      </c>
      <c r="F11" s="7" t="n">
        <v>6777.352941176471</v>
      </c>
    </row>
    <row r="12">
      <c r="A12" s="4" t="n">
        <v>8</v>
      </c>
      <c r="B12" s="5" t="n">
        <v>0.1</v>
      </c>
      <c r="C12" s="6" t="n">
        <v>443</v>
      </c>
      <c r="D12" s="7" t="n">
        <v>8870.5</v>
      </c>
      <c r="E12" s="7" t="n">
        <v>7502.5</v>
      </c>
      <c r="F12" s="7" t="n">
        <v>7343.970588235295</v>
      </c>
    </row>
    <row r="13">
      <c r="A13" s="4" t="n">
        <v>9</v>
      </c>
      <c r="B13" s="5" t="n">
        <v>0.1</v>
      </c>
      <c r="C13" s="6" t="n">
        <v>490</v>
      </c>
      <c r="D13" s="7" t="n">
        <v>7522.214285714285</v>
      </c>
      <c r="E13" s="7" t="n">
        <v>6863.041666666667</v>
      </c>
      <c r="F13" s="7" t="n">
        <v>6958.852941176471</v>
      </c>
    </row>
    <row r="14">
      <c r="A14" s="4" t="n">
        <v>10</v>
      </c>
      <c r="B14" s="5" t="n">
        <v>0.08</v>
      </c>
      <c r="C14" s="6" t="n">
        <v>383</v>
      </c>
      <c r="D14" s="7" t="n">
        <v>11894.64285714286</v>
      </c>
      <c r="E14" s="7" t="n">
        <v>11375.83333333333</v>
      </c>
      <c r="F14" s="7" t="n">
        <v>11068.38235294118</v>
      </c>
    </row>
    <row r="15">
      <c r="A15" s="8" t="n"/>
      <c r="B15" s="8" t="n"/>
      <c r="C15" s="8" t="n"/>
      <c r="D15" s="8" t="n"/>
      <c r="E15" s="8" t="n"/>
      <c r="F15" s="8" t="n"/>
    </row>
  </sheetData>
  <pageMargins left="0.75" right="0.75" top="1" bottom="1" header="0.5" footer="0.5"/>
</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F36"/>
  <s:sheetViews>
    <s:sheetView showGridLines="0" workbookViewId="0">
      <s:selection activeCell="A1" sqref="A1"/>
    </s:sheetView>
  </s:sheetViews>
  <s:sheetFormatPr baseColWidth="8" defaultRowHeight="15"/>
  <s:cols>
    <s:col width="18" customWidth="1" min="1" max="1"/>
    <s:col width="18" customWidth="1" min="2" max="2"/>
    <s:col width="18" customWidth="1" min="3" max="3"/>
    <s:col width="14" customWidth="1" min="4" max="4"/>
    <s:col width="18" customWidth="1" min="5" max="5"/>
    <s:col width="18" customWidth="1" min="6" max="6"/>
  </s:cols>
  <s:sheetData>
    <s:row r="1">
      <s:c r="A1" s="1" t="inlineStr">
        <s:is>
          <s:t>Cumulative proportion and plotting coordinates</s:t>
        </s:is>
      </s:c>
    </s:row>
    <s:row r="3" ht="30" customHeight="1">
      <s:c r="A3" s="3" t="inlineStr">
        <s:is>
          <s:t>Rank</s:t>
        </s:is>
      </s:c>
      <s:c r="B3" s="3" t="inlineStr">
        <s:is>
          <s:t>Scenario</s:t>
        </s:is>
      </s:c>
      <s:c r="C3" s="3" t="inlineStr">
        <s:is>
          <s:t>Cumulative</s:t>
        </s:is>
      </s:c>
      <s:c r="D3" s="3" t="inlineStr">
        <s:is>
          <s:t>Risk neutral</s:t>
        </s:is>
      </s:c>
      <s:c r="E3" s="3" t="inlineStr">
        <s:is>
          <s:t>Chance constrained</s:t>
        </s:is>
      </s:c>
      <s:c r="F3" s="3" t="inlineStr">
        <s:is>
          <s:t>Chance and CVaR</s:t>
        </s:is>
      </s:c>
    </s:row>
    <s:row r="4">
      <s:c r="A4" s="4" t="n">
        <s:v>1</s:v>
      </s:c>
      <s:c r="B4" s="4" t="n">
        <s:v>1</s:v>
      </s:c>
      <s:c r="C4" s="9">
        <s:f>Data!C5/SUM(Data!$C$5:$C$14)</s:f>
        <s:v>0.1254</s:v>
      </s:c>
      <s:c r="D4" s="7">
        <s:f>Data!D5</s:f>
        <s:v>5032.142857142857</s:v>
      </s:c>
      <s:c r="E4" s="7">
        <s:f>Data!E5</s:f>
        <s:v>5975.0</s:v>
      </s:c>
      <s:c r="F4" s="7">
        <s:f>Data!F5</s:f>
        <s:v>6407.352941176471</s:v>
      </s:c>
    </s:row>
    <s:row r="5">
      <s:c r="A5" s="4" t="n">
        <s:v>2</s:v>
      </s:c>
      <s:c r="B5" s="4" t="n">
        <s:v>2</s:v>
      </s:c>
      <s:c r="C5" s="9">
        <s:f>C4+Data!C6/SUM(Data!$C$5:$C$14)</s:f>
        <s:v>0.22640000000000002</s:v>
      </s:c>
      <s:c r="D5" s="7">
        <s:f>Data!D6</s:f>
        <s:v>5097.642857142857</s:v>
      </s:c>
      <s:c r="E5" s="7">
        <s:f>Data!E6</s:f>
        <s:v>6040.0</s:v>
      </s:c>
      <s:c r="F5" s="7">
        <s:f>Data!F6</s:f>
        <s:v>6472.352941176471</s:v>
      </s:c>
    </s:row>
    <s:row r="6">
      <s:c r="A6" s="4" t="n">
        <s:v>3</s:v>
      </s:c>
      <s:c r="B6" s="4" t="n">
        <s:v>3</s:v>
      </s:c>
      <s:c r="C6" s="9">
        <s:f>C5+Data!C7/SUM(Data!$C$5:$C$14)</s:f>
        <s:v>0.3328</s:v>
      </s:c>
      <s:c r="D6" s="7">
        <s:f>Data!D7</s:f>
        <s:v>5187.142857142857</s:v>
      </s:c>
      <s:c r="E6" s="7">
        <s:f>Data!E7</s:f>
        <s:v>6090.0</s:v>
      </s:c>
      <s:c r="F6" s="7">
        <s:f>Data!F7</s:f>
        <s:v>6522.352941176471</s:v>
      </s:c>
    </s:row>
    <s:row r="7">
      <s:c r="A7" s="4" t="n">
        <s:v>4</s:v>
      </s:c>
      <s:c r="B7" s="4" t="n">
        <s:v>4</s:v>
      </s:c>
      <s:c r="C7" s="9">
        <s:f>C6+Data!C8/SUM(Data!$C$5:$C$14)</s:f>
        <s:v>0.43119999999999997</s:v>
      </s:c>
      <s:c r="D7" s="7">
        <s:f>Data!D8</s:f>
        <s:v>5299.642857142857</s:v>
      </s:c>
      <s:c r="E7" s="7">
        <s:f>Data!E8</s:f>
        <s:v>6197.5</s:v>
      </s:c>
      <s:c r="F7" s="7">
        <s:f>Data!F8</s:f>
        <s:v>6629.852941176471</s:v>
      </s:c>
    </s:row>
    <s:row r="8">
      <s:c r="A8" s="4" t="n">
        <s:v>5</s:v>
      </s:c>
      <s:c r="B8" s="4" t="n">
        <s:v>5</s:v>
      </s:c>
      <s:c r="C8" s="9">
        <s:f>C7+Data!C9/SUM(Data!$C$5:$C$14)</s:f>
        <s:v>0.5332</s:v>
      </s:c>
      <s:c r="D8" s="7">
        <s:f>Data!D9</s:f>
        <s:v>5340.142857142857</s:v>
      </s:c>
      <s:c r="E8" s="7">
        <s:f>Data!E9</s:f>
        <s:v>6231.0</s:v>
      </s:c>
      <s:c r="F8" s="7">
        <s:f>Data!F9</s:f>
        <s:v>6663.352941176471</s:v>
      </s:c>
    </s:row>
    <s:row r="9">
      <s:c r="A9" s="4" t="n">
        <s:v>6</s:v>
      </s:c>
      <s:c r="B9" s="4" t="n">
        <s:v>6</s:v>
      </s:c>
      <s:c r="C9" s="9">
        <s:f>C8+Data!C10/SUM(Data!$C$5:$C$14)</s:f>
        <s:v>0.6314</s:v>
      </s:c>
      <s:c r="D9" s="7">
        <s:f>Data!D10</s:f>
        <s:v>5604.178571428571</s:v>
      </s:c>
      <s:c r="E9" s="7">
        <s:f>Data!E10</s:f>
        <s:v>6279.5</s:v>
      </s:c>
      <s:c r="F9" s="7">
        <s:f>Data!F10</s:f>
        <s:v>6711.852941176471</s:v>
      </s:c>
    </s:row>
    <s:row r="10">
      <s:c r="A10" s="4" t="n">
        <s:v>7</s:v>
      </s:c>
      <s:c r="B10" s="4" t="n">
        <s:v>7</s:v>
      </s:c>
      <s:c r="C10" s="9">
        <s:f>C9+Data!C11/SUM(Data!$C$5:$C$14)</s:f>
        <s:v>0.7367999999999999</s:v>
      </s:c>
      <s:c r="D10" s="7">
        <s:f>Data!D11</s:f>
        <s:v>6338.857142857142</s:v>
      </s:c>
      <s:c r="E10" s="7">
        <s:f>Data!E11</s:f>
        <s:v>6365.625</s:v>
      </s:c>
      <s:c r="F10" s="7">
        <s:f>Data!F11</s:f>
        <s:v>6777.352941176471</s:v>
      </s:c>
    </s:row>
    <s:row r="11">
      <s:c r="A11" s="4" t="n">
        <s:v>8</s:v>
      </s:c>
      <s:c r="B11" s="4" t="n">
        <s:v>9</s:v>
      </s:c>
      <s:c r="C11" s="9">
        <s:f>C10+Data!C13/SUM(Data!$C$5:$C$14)</s:f>
        <s:v>0.8347999999999999</s:v>
      </s:c>
      <s:c r="D11" s="7">
        <s:f>Data!D13</s:f>
        <s:v>7522.214285714285</s:v>
      </s:c>
      <s:c r="E11" s="7">
        <s:f>Data!E13</s:f>
        <s:v>6863.041666666667</s:v>
      </s:c>
      <s:c r="F11" s="7">
        <s:f>Data!F13</s:f>
        <s:v>6958.852941176471</s:v>
      </s:c>
    </s:row>
    <s:row r="12">
      <s:c r="A12" s="4" t="n">
        <s:v>9</s:v>
      </s:c>
      <s:c r="B12" s="4" t="n">
        <s:v>8</s:v>
      </s:c>
      <s:c r="C12" s="9">
        <s:f>C11+Data!C12/SUM(Data!$C$5:$C$14)</s:f>
        <s:v>0.9233999999999999</s:v>
      </s:c>
      <s:c r="D12" s="7">
        <s:f>Data!D12</s:f>
        <s:v>8870.5</s:v>
      </s:c>
      <s:c r="E12" s="7">
        <s:f>Data!E12</s:f>
        <s:v>7502.5</s:v>
      </s:c>
      <s:c r="F12" s="7">
        <s:f>Data!F12</s:f>
        <s:v>7343.970588235295</s:v>
      </s:c>
    </s:row>
    <s:row r="13">
      <s:c r="A13" s="4" t="n">
        <s:v>10</s:v>
      </s:c>
      <s:c r="B13" s="4" t="n">
        <s:v>10</s:v>
      </s:c>
      <s:c r="C13" s="9">
        <s:f>C12+Data!C14/SUM(Data!$C$5:$C$14)</s:f>
        <s:v>0.9999999999999999</s:v>
      </s:c>
      <s:c r="D13" s="7">
        <s:f>Data!D14</s:f>
        <s:v>11894.64285714286</s:v>
      </s:c>
      <s:c r="E13" s="7">
        <s:f>Data!E14</s:f>
        <s:v>11375.83333333333</s:v>
      </s:c>
      <s:c r="F13" s="7">
        <s:f>Data!F14</s:f>
        <s:v>11068.38235294118</s:v>
      </s:c>
    </s:row>
    <s:row r="16" ht="30" customHeight="1">
      <s:c r="A16" s="3" t="inlineStr">
        <s:is>
          <s:t>Risk neutral</s:t>
        </s:is>
      </s:c>
      <s:c r="B16" s="3" t="inlineStr">
        <s:is>
          <s:t>Chance constrained</s:t>
        </s:is>
      </s:c>
      <s:c r="C16" s="3" t="inlineStr">
        <s:is>
          <s:t>Chance and CVaR</s:t>
        </s:is>
      </s:c>
      <s:c r="D16" s="3" t="inlineStr">
        <s:is>
          <s:t>Cumulative</s:t>
        </s:is>
      </s:c>
    </s:row>
    <s:row r="17">
      <s:c r="A17" s="7">
        <s:f>D4</s:f>
        <s:v>5032.142857142857</s:v>
      </s:c>
      <s:c r="B17" s="7">
        <s:f>E4</s:f>
        <s:v>5975.0</s:v>
      </s:c>
      <s:c r="C17" s="7">
        <s:f>F4</s:f>
        <s:v>6407.352941176471</s:v>
      </s:c>
      <s:c r="D17" s="9" t="n">
        <s:v>0</s:v>
      </s:c>
    </s:row>
    <s:row r="18">
      <s:c r="A18" s="7">
        <s:f>D4</s:f>
        <s:v>5032.142857142857</s:v>
      </s:c>
      <s:c r="B18" s="7">
        <s:f>E4</s:f>
        <s:v>5975.0</s:v>
      </s:c>
      <s:c r="C18" s="7">
        <s:f>F4</s:f>
        <s:v>6407.352941176471</s:v>
      </s:c>
      <s:c r="D18" s="9">
        <s:f>C4</s:f>
        <s:v>0.1254</s:v>
      </s:c>
    </s:row>
    <s:row r="19">
      <s:c r="A19" s="7">
        <s:f>D5</s:f>
        <s:v>5097.642857142857</s:v>
      </s:c>
      <s:c r="B19" s="7">
        <s:f>E5</s:f>
        <s:v>6040.0</s:v>
      </s:c>
      <s:c r="C19" s="7">
        <s:f>F5</s:f>
        <s:v>6472.352941176471</s:v>
      </s:c>
      <s:c r="D19" s="9">
        <s:f>C4</s:f>
        <s:v>0.1254</s:v>
      </s:c>
    </s:row>
    <s:row r="20">
      <s:c r="A20" s="7">
        <s:f>D5</s:f>
        <s:v>5097.642857142857</s:v>
      </s:c>
      <s:c r="B20" s="7">
        <s:f>E5</s:f>
        <s:v>6040.0</s:v>
      </s:c>
      <s:c r="C20" s="7">
        <s:f>F5</s:f>
        <s:v>6472.352941176471</s:v>
      </s:c>
      <s:c r="D20" s="9">
        <s:f>C5</s:f>
        <s:v>0.22640000000000002</s:v>
      </s:c>
    </s:row>
    <s:row r="21">
      <s:c r="A21" s="7">
        <s:f>D6</s:f>
        <s:v>5187.142857142857</s:v>
      </s:c>
      <s:c r="B21" s="7">
        <s:f>E6</s:f>
        <s:v>6090.0</s:v>
      </s:c>
      <s:c r="C21" s="7">
        <s:f>F6</s:f>
        <s:v>6522.352941176471</s:v>
      </s:c>
      <s:c r="D21" s="9">
        <s:f>C5</s:f>
        <s:v>0.22640000000000002</s:v>
      </s:c>
    </s:row>
    <s:row r="22">
      <s:c r="A22" s="7">
        <s:f>D6</s:f>
        <s:v>5187.142857142857</s:v>
      </s:c>
      <s:c r="B22" s="7">
        <s:f>E6</s:f>
        <s:v>6090.0</s:v>
      </s:c>
      <s:c r="C22" s="7">
        <s:f>F6</s:f>
        <s:v>6522.352941176471</s:v>
      </s:c>
      <s:c r="D22" s="9">
        <s:f>C6</s:f>
        <s:v>0.3328</s:v>
      </s:c>
    </s:row>
    <s:row r="23">
      <s:c r="A23" s="7">
        <s:f>D7</s:f>
        <s:v>5299.642857142857</s:v>
      </s:c>
      <s:c r="B23" s="7">
        <s:f>E7</s:f>
        <s:v>6197.5</s:v>
      </s:c>
      <s:c r="C23" s="7">
        <s:f>F7</s:f>
        <s:v>6629.852941176471</s:v>
      </s:c>
      <s:c r="D23" s="9">
        <s:f>C6</s:f>
        <s:v>0.3328</s:v>
      </s:c>
    </s:row>
    <s:row r="24">
      <s:c r="A24" s="7">
        <s:f>D7</s:f>
        <s:v>5299.642857142857</s:v>
      </s:c>
      <s:c r="B24" s="7">
        <s:f>E7</s:f>
        <s:v>6197.5</s:v>
      </s:c>
      <s:c r="C24" s="7">
        <s:f>F7</s:f>
        <s:v>6629.852941176471</s:v>
      </s:c>
      <s:c r="D24" s="9">
        <s:f>C7</s:f>
        <s:v>0.43119999999999997</s:v>
      </s:c>
    </s:row>
    <s:row r="25">
      <s:c r="A25" s="7">
        <s:f>D8</s:f>
        <s:v>5340.142857142857</s:v>
      </s:c>
      <s:c r="B25" s="7">
        <s:f>E8</s:f>
        <s:v>6231.0</s:v>
      </s:c>
      <s:c r="C25" s="7">
        <s:f>F8</s:f>
        <s:v>6663.352941176471</s:v>
      </s:c>
      <s:c r="D25" s="9">
        <s:f>C7</s:f>
        <s:v>0.43119999999999997</s:v>
      </s:c>
    </s:row>
    <s:row r="26">
      <s:c r="A26" s="7">
        <s:f>D8</s:f>
        <s:v>5340.142857142857</s:v>
      </s:c>
      <s:c r="B26" s="7">
        <s:f>E8</s:f>
        <s:v>6231.0</s:v>
      </s:c>
      <s:c r="C26" s="7">
        <s:f>F8</s:f>
        <s:v>6663.352941176471</s:v>
      </s:c>
      <s:c r="D26" s="9">
        <s:f>C8</s:f>
        <s:v>0.5332</s:v>
      </s:c>
    </s:row>
    <s:row r="27">
      <s:c r="A27" s="7">
        <s:f>D9</s:f>
        <s:v>5604.178571428571</s:v>
      </s:c>
      <s:c r="B27" s="7">
        <s:f>E9</s:f>
        <s:v>6279.5</s:v>
      </s:c>
      <s:c r="C27" s="7">
        <s:f>F9</s:f>
        <s:v>6711.852941176471</s:v>
      </s:c>
      <s:c r="D27" s="9">
        <s:f>C8</s:f>
        <s:v>0.5332</s:v>
      </s:c>
    </s:row>
    <s:row r="28">
      <s:c r="A28" s="7">
        <s:f>D9</s:f>
        <s:v>5604.178571428571</s:v>
      </s:c>
      <s:c r="B28" s="7">
        <s:f>E9</s:f>
        <s:v>6279.5</s:v>
      </s:c>
      <s:c r="C28" s="7">
        <s:f>F9</s:f>
        <s:v>6711.852941176471</s:v>
      </s:c>
      <s:c r="D28" s="9">
        <s:f>C9</s:f>
        <s:v>0.6314</s:v>
      </s:c>
    </s:row>
    <s:row r="29">
      <s:c r="A29" s="7">
        <s:f>D10</s:f>
        <s:v>6338.857142857142</s:v>
      </s:c>
      <s:c r="B29" s="7">
        <s:f>E10</s:f>
        <s:v>6365.625</s:v>
      </s:c>
      <s:c r="C29" s="7">
        <s:f>F10</s:f>
        <s:v>6777.352941176471</s:v>
      </s:c>
      <s:c r="D29" s="9">
        <s:f>C9</s:f>
        <s:v>0.6314</s:v>
      </s:c>
    </s:row>
    <s:row r="30">
      <s:c r="A30" s="7">
        <s:f>D10</s:f>
        <s:v>6338.857142857142</s:v>
      </s:c>
      <s:c r="B30" s="7">
        <s:f>E10</s:f>
        <s:v>6365.625</s:v>
      </s:c>
      <s:c r="C30" s="7">
        <s:f>F10</s:f>
        <s:v>6777.352941176471</s:v>
      </s:c>
      <s:c r="D30" s="9">
        <s:f>C10</s:f>
        <s:v>0.7367999999999999</s:v>
      </s:c>
    </s:row>
    <s:row r="31">
      <s:c r="A31" s="7">
        <s:f>D11</s:f>
        <s:v>7522.214285714285</s:v>
      </s:c>
      <s:c r="B31" s="7">
        <s:f>E11</s:f>
        <s:v>6863.041666666667</s:v>
      </s:c>
      <s:c r="C31" s="7">
        <s:f>F11</s:f>
        <s:v>6958.852941176471</s:v>
      </s:c>
      <s:c r="D31" s="9">
        <s:f>C10</s:f>
        <s:v>0.7367999999999999</s:v>
      </s:c>
    </s:row>
    <s:row r="32">
      <s:c r="A32" s="7">
        <s:f>D11</s:f>
        <s:v>7522.214285714285</s:v>
      </s:c>
      <s:c r="B32" s="7">
        <s:f>E11</s:f>
        <s:v>6863.041666666667</s:v>
      </s:c>
      <s:c r="C32" s="7">
        <s:f>F11</s:f>
        <s:v>6958.852941176471</s:v>
      </s:c>
      <s:c r="D32" s="9">
        <s:f>C11</s:f>
        <s:v>0.8347999999999999</s:v>
      </s:c>
    </s:row>
    <s:row r="33">
      <s:c r="A33" s="7">
        <s:f>D12</s:f>
        <s:v>8870.5</s:v>
      </s:c>
      <s:c r="B33" s="7">
        <s:f>E12</s:f>
        <s:v>7502.5</s:v>
      </s:c>
      <s:c r="C33" s="7">
        <s:f>F12</s:f>
        <s:v>7343.970588235295</s:v>
      </s:c>
      <s:c r="D33" s="9">
        <s:f>C11</s:f>
        <s:v>0.8347999999999999</s:v>
      </s:c>
    </s:row>
    <s:row r="34">
      <s:c r="A34" s="7">
        <s:f>D12</s:f>
        <s:v>8870.5</s:v>
      </s:c>
      <s:c r="B34" s="7">
        <s:f>E12</s:f>
        <s:v>7502.5</s:v>
      </s:c>
      <s:c r="C34" s="7">
        <s:f>F12</s:f>
        <s:v>7343.970588235295</s:v>
      </s:c>
      <s:c r="D34" s="9">
        <s:f>C12</s:f>
        <s:v>0.9233999999999999</s:v>
      </s:c>
    </s:row>
    <s:row r="35">
      <s:c r="A35" s="7">
        <s:f>D13</s:f>
        <s:v>11894.64285714286</s:v>
      </s:c>
      <s:c r="B35" s="7">
        <s:f>E13</s:f>
        <s:v>11375.83333333333</s:v>
      </s:c>
      <s:c r="C35" s="7">
        <s:f>F13</s:f>
        <s:v>11068.38235294118</s:v>
      </s:c>
      <s:c r="D35" s="9">
        <s:f>C12</s:f>
        <s:v>0.9233999999999999</s:v>
      </s:c>
    </s:row>
    <s:row r="36">
      <s:c r="A36" s="7">
        <s:f>D13</s:f>
        <s:v>11894.64285714286</s:v>
      </s:c>
      <s:c r="B36" s="7">
        <s:f>E13</s:f>
        <s:v>11375.83333333333</s:v>
      </s:c>
      <s:c r="C36" s="7">
        <s:f>F13</s:f>
        <s:v>11068.38235294118</s:v>
      </s:c>
      <s:c r="D36" s="9">
        <s:f>C13</s:f>
        <s:v>0.9999999999999999</s:v>
      </s:c>
    </s:row>
  </s:sheetData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2026-10-14T14:19:07Z</dcterms:created>
  <dcterms:modified xsi:type="dcterms:W3CDTF">2026-10-14T14:19:07Z</dcterms:modified>
</cp:coreProperties>
</file>