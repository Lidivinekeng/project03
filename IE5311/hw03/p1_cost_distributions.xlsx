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hartsheets/sheet1.xml" ContentType="application/vnd.openxmlformats-officedocument.spreadsheetml.chart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igure" sheetId="1" state="visible" r:id="rId1"/>
    <sheet name="Data" sheetId="2" state="visible" r:id="rId2"/>
    <sheet name="CDF" sheetId="3" state="visible" r:id="rId3"/>
    <sheet name="CVaR" sheetId="4" state="visible" r:id="rId4"/>
    <sheet name="ChartData" sheetId="5" state="visible" r:id="rId5"/>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7">
    <font>
      <name val="Calibri"/>
      <family val="2"/>
      <color theme="1"/>
      <sz val="11"/>
      <scheme val="minor"/>
    </font>
    <font>
      <name val="Arial"/>
      <b val="1"/>
      <sz val="13"/>
    </font>
    <font>
      <name val="Arial"/>
      <sz val="10"/>
    </font>
    <font>
      <name val="Arial"/>
      <b val="1"/>
      <sz val="11"/>
    </font>
    <font>
      <name val="Arial"/>
      <i val="1"/>
      <sz val="9"/>
    </font>
    <font>
      <name val="Arial"/>
      <color rgb="000000FF"/>
      <sz val="10"/>
    </font>
    <font>
      <name val="Arial"/>
      <color rgb="00008000"/>
      <sz val="10"/>
    </font>
  </fonts>
  <fills count="2">
    <fill>
      <patternFill/>
    </fill>
    <fill>
      <patternFill patternType="gray125"/>
    </fill>
  </fills>
  <borders count="3">
    <border>
      <left/>
      <right/>
      <top/>
      <bottom/>
      <diagonal/>
    </border>
    <border>
      <bottom style="thin">
        <color rgb="00000000"/>
      </bottom>
    </border>
    <border>
      <top style="thin">
        <color rgb="00000000"/>
      </top>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3" fillId="0" borderId="1" applyAlignment="1" pivotButton="0" quotePrefix="0" xfId="0">
      <alignment horizontal="center" wrapText="1"/>
    </xf>
    <xf numFmtId="0" fontId="2" fillId="0" borderId="0" applyAlignment="1" pivotButton="0" quotePrefix="0" xfId="0">
      <alignment horizontal="center"/>
    </xf>
    <xf numFmtId="2" fontId="5" fillId="0" borderId="0" pivotButton="0" quotePrefix="0" xfId="0"/>
    <xf numFmtId="3" fontId="5" fillId="0" borderId="0" pivotButton="0" quotePrefix="0" xfId="0"/>
    <xf numFmtId="165" fontId="2" fillId="0" borderId="0" pivotButton="0" quotePrefix="0" xfId="0"/>
    <xf numFmtId="4" fontId="5" fillId="0" borderId="0" pivotButton="0" quotePrefix="0" xfId="0"/>
    <xf numFmtId="164" fontId="2" fillId="0" borderId="0" pivotButton="0" quotePrefix="0" xfId="0"/>
    <xf numFmtId="0" fontId="3" fillId="0" borderId="2" pivotButton="0" quotePrefix="0" xfId="0"/>
    <xf numFmtId="2" fontId="2" fillId="0" borderId="2" pivotButton="0" quotePrefix="0" xfId="0"/>
    <xf numFmtId="3" fontId="2" fillId="0" borderId="2" pivotButton="0" quotePrefix="0" xfId="0"/>
    <xf numFmtId="165" fontId="2" fillId="0" borderId="2" pivotButton="0" quotePrefix="0" xfId="0"/>
    <xf numFmtId="0" fontId="0" fillId="0" borderId="2" pivotButton="0" quotePrefix="0" xfId="0"/>
    <xf numFmtId="0" fontId="3" fillId="0" borderId="1" pivotButton="0" quotePrefix="0" xfId="0"/>
    <xf numFmtId="164" fontId="5" fillId="0" borderId="0" pivotButton="0" quotePrefix="0" xfId="0"/>
    <xf numFmtId="164" fontId="6" fillId="0" borderId="0" pivotButton="0" quotePrefix="0" xfId="0"/>
    <xf numFmtId="0" fontId="3" fillId="0" borderId="0" applyAlignment="1" pivotButton="0" quotePrefix="0" xfId="0">
      <alignment horizontal="center"/>
    </xf>
    <xf numFmtId="0" fontId="5" fillId="0" borderId="0" applyAlignment="1" pivotButton="0" quotePrefix="0" xfId="0">
      <alignment horizontal="center"/>
    </xf>
    <xf numFmtId="4" fontId="6" fillId="0" borderId="0" pivotButton="0" quotePrefix="0" xfId="0"/>
    <xf numFmtId="166" fontId="6" fillId="0" borderId="0" pivotButton="0" quotePrefix="0" xfId="0"/>
    <xf numFmtId="166" fontId="2" fillId="0" borderId="0" pivotButton="0" quotePrefix="0" xfId="0"/>
    <xf numFmtId="166" fontId="2"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chartsheet" Target="/xl/chartsheets/sheet1.xml" Id="rId1"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worksheet" Target="/xl/worksheets/sheet4.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chart>
    <title>
      <tx>
        <rich>
          <a:bodyPr/>
          <a:p>
            <a:pPr>
              <a:defRPr/>
            </a:pPr>
            <a:r>
              <a:t>Distribution of total cost over 5,000 draws</a:t>
            </a:r>
          </a:p>
        </rich>
      </tx>
    </title>
    <plotArea>
      <scatterChart>
        <scatterStyle val="line"/>
        <ser>
          <idx val="0"/>
          <order val="0"/>
          <tx>
            <v>risk-neutral</v>
          </tx>
          <spPr>
            <a:ln w="19050">
              <a:solidFill>
                <a:srgbClr val="000000"/>
              </a:solidFill>
              <a:prstDash val="solid"/>
            </a:ln>
          </spPr>
          <marker>
            <symbol val="none"/>
            <spPr>
              <a:ln>
                <a:prstDash val="solid"/>
              </a:ln>
            </spPr>
          </marker>
          <xVal>
            <numRef>
              <f>'ChartData'!$A$4:$A$23</f>
            </numRef>
          </xVal>
          <yVal>
            <numRef>
              <f>'ChartData'!$B$4:$B$23</f>
            </numRef>
          </yVal>
          <smooth val="0"/>
        </ser>
        <ser>
          <idx val="1"/>
          <order val="1"/>
          <tx>
            <v>chance-constrained</v>
          </tx>
          <spPr>
            <a:ln w="19050">
              <a:solidFill>
                <a:srgbClr val="000000"/>
              </a:solidFill>
              <a:prstDash val="dash"/>
            </a:ln>
          </spPr>
          <marker>
            <symbol val="none"/>
            <spPr>
              <a:ln>
                <a:prstDash val="solid"/>
              </a:ln>
            </spPr>
          </marker>
          <xVal>
            <numRef>
              <f>'ChartData'!$D$4:$D$23</f>
            </numRef>
          </xVal>
          <yVal>
            <numRef>
              <f>'ChartData'!$E$4:$E$23</f>
            </numRef>
          </yVal>
          <smooth val="0"/>
        </ser>
        <ser>
          <idx val="2"/>
          <order val="2"/>
          <tx>
            <v>chance + CVaR</v>
          </tx>
          <spPr>
            <a:ln w="19050">
              <a:solidFill>
                <a:srgbClr val="000000"/>
              </a:solidFill>
              <a:prstDash val="sysDot"/>
            </a:ln>
          </spPr>
          <marker>
            <symbol val="none"/>
            <spPr>
              <a:ln>
                <a:prstDash val="solid"/>
              </a:ln>
            </spPr>
          </marker>
          <xVal>
            <numRef>
              <f>'ChartData'!$G$4:$G$23</f>
            </numRef>
          </xVal>
          <yVal>
            <numRef>
              <f>'ChartData'!$H$4:$H$23</f>
            </numRef>
          </yVal>
          <smooth val="0"/>
        </ser>
        <axId val="10"/>
        <axId val="20"/>
      </scatterChart>
      <valAx>
        <axId val="10"/>
        <scaling>
          <orientation val="minMax"/>
          <max val="12500"/>
          <min val="4500"/>
        </scaling>
        <delete val="0"/>
        <axPos val="l"/>
        <majorGridlines/>
        <title>
          <tx>
            <rich>
              <a:bodyPr/>
              <a:p>
                <a:pPr>
                  <a:defRPr/>
                </a:pPr>
                <a:r>
                  <a:t>Total cost (first stage plus realised recourse), $</a:t>
                </a:r>
              </a:p>
            </rich>
          </tx>
        </title>
        <numFmt formatCode="#,##0" sourceLinked="0"/>
        <majorTickMark val="none"/>
        <minorTickMark val="none"/>
        <crossAx val="20"/>
      </valAx>
      <valAx>
        <axId val="20"/>
        <scaling>
          <orientation val="minMax"/>
          <max val="1"/>
          <min val="0"/>
        </scaling>
        <delete val="0"/>
        <axPos val="l"/>
        <majorGridlines/>
        <title>
          <tx>
            <rich>
              <a:bodyPr/>
              <a:p>
                <a:pPr>
                  <a:defRPr/>
                </a:pPr>
                <a:r>
                  <a:t>Empirical cumulative probability</a:t>
                </a:r>
              </a:p>
            </rich>
          </tx>
        </title>
        <numFmt formatCode="0.0" sourceLinked="0"/>
        <majorTickMark val="none"/>
        <minorTickMark val="none"/>
        <crossAx val="10"/>
      </valAx>
    </plotArea>
    <legend>
      <legendPos val="b"/>
    </legend>
    <plotVisOnly val="1"/>
    <dispBlanksAs val="gap"/>
  </chart>
</chartSpace>
</file>

<file path=xl/chartsheets/_rels/sheet1.xml.rels><Relationships xmlns="http://schemas.openxmlformats.org/package/2006/relationships"><Relationship Type="http://schemas.openxmlformats.org/officeDocument/2006/relationships/drawing" Target="/xl/drawings/drawing1.xml" Id="rId1" /></Relationships>
</file>

<file path=xl/chartsheets/sheet1.xml><?xml version="1.0" encoding="utf-8"?>
<chartsheet xmlns:r="http://schemas.openxmlformats.org/officeDocument/2006/relationships" xmlns="http://schemas.openxmlformats.org/spreadsheetml/2006/main">
  <sheetViews>
    <sheetView workbookViewId="0" zoomToFit="1"/>
  </sheetViews>
  <drawing r:id="rId1"/>
</chartsheet>
</file>

<file path=xl/comments/comment1.xml><?xml version="1.0" encoding="utf-8"?>
<comments xmlns="http://schemas.openxmlformats.org/spreadsheetml/2006/main">
  <authors>
    <author>IE 5311</author>
  </authors>
  <commentList>
    <comment ref="H7" authorId="0" shapeId="0">
      <text>
        <t>Columns H to J hold p_s times the scenario cost. The CVaR sheet needs the conditional sum of p_s*cost over the scenarios above a candidate eta, and SUMIF cannot multiply two ranges, so the product is formed here first. This keeps the CVaR formulas to SUMIF, which every version of Excel evaluates the same way.</t>
      </text>
    </comment>
    <comment ref="C18" authorId="0" shapeId="0">
      <text>
        <t>Draws total 5,000 by construction; the sample frequency column divides by this cell, so both totals must read 5,000 and 1.000.</t>
      </text>
    </comment>
    <comment ref="A24" authorId="0" shapeId="0">
      <text>
        <t>Optimal objective reported by Gurobi for each model. For the risk-neutral model this equals the exact expectation, because that model already minimises expected cost with free recourse. The two constrained models sit above it: their own recourse must satisfy the service rows and the CVaR cap, which the evaluation drops.</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absoluteAnchor>
    <pos x="0" y="0"/>
    <ext cx="0" cy="0"/>
    <graphicFrame>
      <nvGraphicFramePr>
        <cNvPr id="1" name="Chart 1"/>
        <cNvGraphicFramePr/>
      </nvGraphicFramePr>
      <xfrm/>
      <a:graphic>
        <a:graphicData uri="http://schemas.openxmlformats.org/drawingml/2006/chart">
          <c:chart r:id="rId1"/>
        </a:graphicData>
      </a:graphic>
    </graphicFrame>
    <clientData/>
  </absolute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s:worksheet xmlns:r="http://schemas.openxmlformats.org/officeDocument/2006/relationships" xmlns:s="http://schemas.openxmlformats.org/spreadsheetml/2006/main">
  <s:sheetPr>
    <s:outlinePr summaryBelow="1" summaryRight="1"/>
    <s:pageSetUpPr/>
  </s:sheetPr>
  <s:dimension ref="A1:J32"/>
  <s:sheetViews>
    <s:sheetView showGridLines="0" workbookViewId="0">
      <s:selection activeCell="A1" sqref="A1"/>
    </s:sheetView>
  </s:sheetViews>
  <s:sheetFormatPr baseColWidth="8" defaultRowHeight="15"/>
  <s:cols>
    <s:col width="34" customWidth="1" min="1" max="1"/>
    <s:col width="17" customWidth="1" min="2" max="2"/>
    <s:col width="17" customWidth="1" min="3" max="3"/>
    <s:col width="17" customWidth="1" min="4" max="4"/>
    <s:col width="15" customWidth="1" min="5" max="5"/>
    <s:col width="15" customWidth="1" min="6" max="6"/>
    <s:col width="15" customWidth="1" min="7" max="7"/>
    <s:col width="17" customWidth="1" min="8" max="8"/>
    <s:col width="17" customWidth="1" min="9" max="9"/>
    <s:col width="17" customWidth="1" min="10" max="10"/>
  </s:cols>
  <s:sheetData>
    <s:row r="1">
      <s:c r="A1" s="1" t="inlineStr">
        <s:is>
          <s:t>IE 5311 Homework 3, Problem 1 Part 7</s:t>
        </s:is>
      </s:c>
    </s:row>
    <s:row r="2">
      <s:c r="A2" s="2" t="inlineStr">
        <s:is>
          <s:t>Total cost by scenario under each first-stage plan, and the 5,000-draw sample used to evaluate them</s:t>
        </s:is>
      </s:c>
    </s:row>
    <s:row r="4">
      <s:c r="A4" s="3" t="inlineStr">
        <s:is>
          <s:t>Inputs</s:t>
        </s:is>
      </s:c>
    </s:row>
    <s:row r="5">
      <s:c r="A5" s="4" t="inlineStr">
        <s:is>
          <s:t>Blue cells are inputs. Scenario probabilities are given in the assignment; costs and draw counts are produced by p1_relief.py (Gurobi, seed 5311). Black cells are formulas.</s:t>
        </s:is>
      </s:c>
    </s:row>
    <s:row r="7" ht="30" customHeight="1">
      <s:c r="A7" s="5" t="inlineStr">
        <s:is>
          <s:t>Scenario</s:t>
        </s:is>
      </s:c>
      <s:c r="B7" s="5" t="inlineStr">
        <s:is>
          <s:t>Probability p_s</s:t>
        </s:is>
      </s:c>
      <s:c r="C7" s="5" t="inlineStr">
        <s:is>
          <s:t>Draw count</s:t>
        </s:is>
      </s:c>
      <s:c r="D7" s="5" t="inlineStr">
        <s:is>
          <s:t>Sample frequency</s:t>
        </s:is>
      </s:c>
      <s:c r="E7" s="5" t="inlineStr">
        <s:is>
          <s:t>Risk neutral</s:t>
        </s:is>
      </s:c>
      <s:c r="F7" s="5" t="inlineStr">
        <s:is>
          <s:t>Chance constrained</s:t>
        </s:is>
      </s:c>
      <s:c r="G7" s="5" t="inlineStr">
        <s:is>
          <s:t>Chance + CVaR</s:t>
        </s:is>
      </s:c>
      <s:c r="H7" s="5" t="inlineStr">
        <s:is>
          <s:t>p_s x cost, risk neutral</s:t>
        </s:is>
      </s:c>
      <s:c r="I7" s="5" t="inlineStr">
        <s:is>
          <s:t>p_s x cost, chance</s:t>
        </s:is>
      </s:c>
      <s:c r="J7" s="5" t="inlineStr">
        <s:is>
          <s:t>p_s x cost, chance + CVaR</s:t>
        </s:is>
      </s:c>
    </s:row>
    <s:row r="8">
      <s:c r="A8" s="6" t="n">
        <s:v>1</s:v>
      </s:c>
      <s:c r="B8" s="7" t="n">
        <s:v>0.12</s:v>
      </s:c>
      <s:c r="C8" s="8" t="n">
        <s:v>627</s:v>
      </s:c>
      <s:c r="D8" s="9">
        <s:f>C8/$C$18</s:f>
        <s:v>0.1254</s:v>
      </s:c>
      <s:c r="E8" s="10" t="n">
        <s:v>5032.142857142857</s:v>
      </s:c>
      <s:c r="F8" s="10" t="n">
        <s:v>5975</s:v>
      </s:c>
      <s:c r="G8" s="10" t="n">
        <s:v>6407.352941176471</s:v>
      </s:c>
      <s:c r="H8" s="11">
        <s:f>$B8*E8</s:f>
        <s:v>603.8571428571428</s:v>
      </s:c>
      <s:c r="I8" s="11">
        <s:f>$B8*F8</s:f>
        <s:v>717.0</s:v>
      </s:c>
      <s:c r="J8" s="11">
        <s:f>$B8*G8</s:f>
        <s:v>768.8823529411765</s:v>
      </s:c>
    </s:row>
    <s:row r="9">
      <s:c r="A9" s="6" t="n">
        <s:v>2</s:v>
      </s:c>
      <s:c r="B9" s="7" t="n">
        <s:v>0.1</s:v>
      </s:c>
      <s:c r="C9" s="8" t="n">
        <s:v>505</s:v>
      </s:c>
      <s:c r="D9" s="9">
        <s:f>C9/$C$18</s:f>
        <s:v>0.101</s:v>
      </s:c>
      <s:c r="E9" s="10" t="n">
        <s:v>5097.642857142857</s:v>
      </s:c>
      <s:c r="F9" s="10" t="n">
        <s:v>6040</s:v>
      </s:c>
      <s:c r="G9" s="10" t="n">
        <s:v>6472.352941176471</s:v>
      </s:c>
      <s:c r="H9" s="11">
        <s:f>$B9*E9</s:f>
        <s:v>509.76428571428573</s:v>
      </s:c>
      <s:c r="I9" s="11">
        <s:f>$B9*F9</s:f>
        <s:v>604.0</s:v>
      </s:c>
      <s:c r="J9" s="11">
        <s:f>$B9*G9</s:f>
        <s:v>647.2352941176472</s:v>
      </s:c>
    </s:row>
    <s:row r="10">
      <s:c r="A10" s="6" t="n">
        <s:v>3</s:v>
      </s:c>
      <s:c r="B10" s="7" t="n">
        <s:v>0.1</s:v>
      </s:c>
      <s:c r="C10" s="8" t="n">
        <s:v>532</s:v>
      </s:c>
      <s:c r="D10" s="9">
        <s:f>C10/$C$18</s:f>
        <s:v>0.1064</s:v>
      </s:c>
      <s:c r="E10" s="10" t="n">
        <s:v>5187.142857142857</s:v>
      </s:c>
      <s:c r="F10" s="10" t="n">
        <s:v>6090</s:v>
      </s:c>
      <s:c r="G10" s="10" t="n">
        <s:v>6522.352941176471</s:v>
      </s:c>
      <s:c r="H10" s="11">
        <s:f>$B10*E10</s:f>
        <s:v>518.7142857142857</s:v>
      </s:c>
      <s:c r="I10" s="11">
        <s:f>$B10*F10</s:f>
        <s:v>609.0</s:v>
      </s:c>
      <s:c r="J10" s="11">
        <s:f>$B10*G10</s:f>
        <s:v>652.2352941176472</s:v>
      </s:c>
    </s:row>
    <s:row r="11">
      <s:c r="A11" s="6" t="n">
        <s:v>4</s:v>
      </s:c>
      <s:c r="B11" s="7" t="n">
        <s:v>0.1</s:v>
      </s:c>
      <s:c r="C11" s="8" t="n">
        <s:v>492</s:v>
      </s:c>
      <s:c r="D11" s="9">
        <s:f>C11/$C$18</s:f>
        <s:v>0.0984</s:v>
      </s:c>
      <s:c r="E11" s="10" t="n">
        <s:v>5299.642857142857</s:v>
      </s:c>
      <s:c r="F11" s="10" t="n">
        <s:v>6197.5</s:v>
      </s:c>
      <s:c r="G11" s="10" t="n">
        <s:v>6629.852941176471</s:v>
      </s:c>
      <s:c r="H11" s="11">
        <s:f>$B11*E11</s:f>
        <s:v>529.9642857142857</s:v>
      </s:c>
      <s:c r="I11" s="11">
        <s:f>$B11*F11</s:f>
        <s:v>619.75</s:v>
      </s:c>
      <s:c r="J11" s="11">
        <s:f>$B11*G11</s:f>
        <s:v>662.9852941176472</s:v>
      </s:c>
    </s:row>
    <s:row r="12">
      <s:c r="A12" s="6" t="n">
        <s:v>5</s:v>
      </s:c>
      <s:c r="B12" s="7" t="n">
        <s:v>0.1</s:v>
      </s:c>
      <s:c r="C12" s="8" t="n">
        <s:v>510</s:v>
      </s:c>
      <s:c r="D12" s="9">
        <s:f>C12/$C$18</s:f>
        <s:v>0.102</s:v>
      </s:c>
      <s:c r="E12" s="10" t="n">
        <s:v>5340.142857142857</s:v>
      </s:c>
      <s:c r="F12" s="10" t="n">
        <s:v>6231</s:v>
      </s:c>
      <s:c r="G12" s="10" t="n">
        <s:v>6663.352941176471</s:v>
      </s:c>
      <s:c r="H12" s="11">
        <s:f>$B12*E12</s:f>
        <s:v>534.0142857142857</s:v>
      </s:c>
      <s:c r="I12" s="11">
        <s:f>$B12*F12</s:f>
        <s:v>623.1</s:v>
      </s:c>
      <s:c r="J12" s="11">
        <s:f>$B12*G12</s:f>
        <s:v>666.3352941176472</s:v>
      </s:c>
    </s:row>
    <s:row r="13">
      <s:c r="A13" s="6" t="n">
        <s:v>6</s:v>
      </s:c>
      <s:c r="B13" s="7" t="n">
        <s:v>0.1</s:v>
      </s:c>
      <s:c r="C13" s="8" t="n">
        <s:v>491</s:v>
      </s:c>
      <s:c r="D13" s="9">
        <s:f>C13/$C$18</s:f>
        <s:v>0.0982</s:v>
      </s:c>
      <s:c r="E13" s="10" t="n">
        <s:v>5604.178571428571</s:v>
      </s:c>
      <s:c r="F13" s="10" t="n">
        <s:v>6279.5</s:v>
      </s:c>
      <s:c r="G13" s="10" t="n">
        <s:v>6711.852941176471</s:v>
      </s:c>
      <s:c r="H13" s="11">
        <s:f>$B13*E13</s:f>
        <s:v>560.4178571428571</s:v>
      </s:c>
      <s:c r="I13" s="11">
        <s:f>$B13*F13</s:f>
        <s:v>627.95</s:v>
      </s:c>
      <s:c r="J13" s="11">
        <s:f>$B13*G13</s:f>
        <s:v>671.1852941176471</s:v>
      </s:c>
    </s:row>
    <s:row r="14">
      <s:c r="A14" s="6" t="n">
        <s:v>7</s:v>
      </s:c>
      <s:c r="B14" s="7" t="n">
        <s:v>0.1</s:v>
      </s:c>
      <s:c r="C14" s="8" t="n">
        <s:v>527</s:v>
      </s:c>
      <s:c r="D14" s="9">
        <s:f>C14/$C$18</s:f>
        <s:v>0.1054</s:v>
      </s:c>
      <s:c r="E14" s="10" t="n">
        <s:v>6338.857142857142</s:v>
      </s:c>
      <s:c r="F14" s="10" t="n">
        <s:v>6365.625</s:v>
      </s:c>
      <s:c r="G14" s="10" t="n">
        <s:v>6777.352941176471</s:v>
      </s:c>
      <s:c r="H14" s="11">
        <s:f>$B14*E14</s:f>
        <s:v>633.8857142857142</s:v>
      </s:c>
      <s:c r="I14" s="11">
        <s:f>$B14*F14</s:f>
        <s:v>636.5625</s:v>
      </s:c>
      <s:c r="J14" s="11">
        <s:f>$B14*G14</s:f>
        <s:v>677.7352941176472</s:v>
      </s:c>
    </s:row>
    <s:row r="15">
      <s:c r="A15" s="6" t="n">
        <s:v>8</s:v>
      </s:c>
      <s:c r="B15" s="7" t="n">
        <s:v>0.1</s:v>
      </s:c>
      <s:c r="C15" s="8" t="n">
        <s:v>443</s:v>
      </s:c>
      <s:c r="D15" s="9">
        <s:f>C15/$C$18</s:f>
        <s:v>0.0886</s:v>
      </s:c>
      <s:c r="E15" s="10" t="n">
        <s:v>8870.5</s:v>
      </s:c>
      <s:c r="F15" s="10" t="n">
        <s:v>7502.5</s:v>
      </s:c>
      <s:c r="G15" s="10" t="n">
        <s:v>7343.970588235295</s:v>
      </s:c>
      <s:c r="H15" s="11">
        <s:f>$B15*E15</s:f>
        <s:v>887.0500000000001</s:v>
      </s:c>
      <s:c r="I15" s="11">
        <s:f>$B15*F15</s:f>
        <s:v>750.25</s:v>
      </s:c>
      <s:c r="J15" s="11">
        <s:f>$B15*G15</s:f>
        <s:v>734.3970588235295</s:v>
      </s:c>
    </s:row>
    <s:row r="16">
      <s:c r="A16" s="6" t="n">
        <s:v>9</s:v>
      </s:c>
      <s:c r="B16" s="7" t="n">
        <s:v>0.1</s:v>
      </s:c>
      <s:c r="C16" s="8" t="n">
        <s:v>490</s:v>
      </s:c>
      <s:c r="D16" s="9">
        <s:f>C16/$C$18</s:f>
        <s:v>0.098</s:v>
      </s:c>
      <s:c r="E16" s="10" t="n">
        <s:v>7522.214285714285</s:v>
      </s:c>
      <s:c r="F16" s="10" t="n">
        <s:v>6863.041666666667</s:v>
      </s:c>
      <s:c r="G16" s="10" t="n">
        <s:v>6958.852941176471</s:v>
      </s:c>
      <s:c r="H16" s="11">
        <s:f>$B16*E16</s:f>
        <s:v>752.2214285714285</s:v>
      </s:c>
      <s:c r="I16" s="11">
        <s:f>$B16*F16</s:f>
        <s:v>686.3041666666668</s:v>
      </s:c>
      <s:c r="J16" s="11">
        <s:f>$B16*G16</s:f>
        <s:v>695.8852941176472</s:v>
      </s:c>
    </s:row>
    <s:row r="17">
      <s:c r="A17" s="6" t="n">
        <s:v>10</s:v>
      </s:c>
      <s:c r="B17" s="7" t="n">
        <s:v>0.08</s:v>
      </s:c>
      <s:c r="C17" s="8" t="n">
        <s:v>383</s:v>
      </s:c>
      <s:c r="D17" s="9">
        <s:f>C17/$C$18</s:f>
        <s:v>0.0766</s:v>
      </s:c>
      <s:c r="E17" s="10" t="n">
        <s:v>11894.64285714286</s:v>
      </s:c>
      <s:c r="F17" s="10" t="n">
        <s:v>11375.83333333333</s:v>
      </s:c>
      <s:c r="G17" s="10" t="n">
        <s:v>11068.38235294118</s:v>
      </s:c>
      <s:c r="H17" s="11">
        <s:f>$B17*E17</s:f>
        <s:v>951.5714285714289</s:v>
      </s:c>
      <s:c r="I17" s="11">
        <s:f>$B17*F17</s:f>
        <s:v>910.0666666666665</s:v>
      </s:c>
      <s:c r="J17" s="11">
        <s:f>$B17*G17</s:f>
        <s:v>885.4705882352945</s:v>
      </s:c>
    </s:row>
    <s:row r="18">
      <s:c r="A18" s="12" t="inlineStr">
        <s:is>
          <s:t>Total</s:t>
        </s:is>
      </s:c>
      <s:c r="B18" s="13">
        <s:f>SUM(B8:B17)</s:f>
        <s:v>1.0</s:v>
      </s:c>
      <s:c r="C18" s="14">
        <s:f>SUM(C8:C17)</s:f>
        <s:v>5000.0</s:v>
      </s:c>
      <s:c r="D18" s="15">
        <s:f>SUM(D8:D17)</s:f>
        <s:v>1.0</s:v>
      </s:c>
      <s:c r="E18" s="16" t="n"/>
      <s:c r="F18" s="16" t="n"/>
      <s:c r="G18" s="16" t="n"/>
    </s:row>
    <s:row r="20">
      <s:c r="A20" s="3" t="inlineStr">
        <s:is>
          <s:t>Summary statistics</s:t>
        </s:is>
      </s:c>
    </s:row>
    <s:row r="21">
      <s:c r="A21" s="4" t="inlineStr">
        <s:is>
          <s:t>Every figure below is a formula over the table above. Expectation, standard deviation, the 90% quantile and the maximum use the sample; CVaR uses the true probabilities p_s, matching p1_relief.py.</s:t>
        </s:is>
      </s:c>
    </s:row>
    <s:row r="23" ht="30" customHeight="1">
      <s:c r="A23" s="17" t="inlineStr">
        <s:is>
          <s:t>Statistic</s:t>
        </s:is>
      </s:c>
      <s:c r="B23" s="5" t="inlineStr">
        <s:is>
          <s:t>risk-neutral</s:t>
        </s:is>
      </s:c>
      <s:c r="C23" s="5" t="inlineStr">
        <s:is>
          <s:t>chance-constrained</s:t>
        </s:is>
      </s:c>
      <s:c r="D23" s="5" t="inlineStr">
        <s:is>
          <s:t>chance + CVaR</s:t>
        </s:is>
      </s:c>
    </s:row>
    <s:row r="24">
      <s:c r="A24" s="2" t="inlineStr">
        <s:is>
          <s:t>Model objective (from Gurobi)</s:t>
        </s:is>
      </s:c>
      <s:c r="B24" s="18" t="n">
        <s:v>6481.460714285714</s:v>
      </s:c>
      <s:c r="C24" s="18" t="n">
        <s:v>6800.495833333334</s:v>
      </s:c>
      <s:c r="D24" s="18" t="n">
        <s:v>7064.023529411767</s:v>
      </s:c>
    </s:row>
    <s:row r="25">
      <s:c r="A25" s="2" t="inlineStr">
        <s:is>
          <s:t>Expectation under free recourse</s:t>
        </s:is>
      </s:c>
      <s:c r="B25" s="11">
        <s:f>SUMPRODUCT($B$8:$B$17,E8:E17)</s:f>
        <s:v>6481.460714285715</s:v>
      </s:c>
      <s:c r="C25" s="11">
        <s:f>SUMPRODUCT($B$8:$B$17,F8:F17)</s:f>
        <s:v>6783.983333333334</s:v>
      </s:c>
      <s:c r="D25" s="11">
        <s:f>SUMPRODUCT($B$8:$B$17,G8:G17)</s:f>
        <s:v>7062.3470588235305</s:v>
      </s:c>
    </s:row>
    <s:row r="26">
      <s:c r="A26" s="2" t="inlineStr">
        <s:is>
          <s:t>Recourse relaxation</s:t>
        </s:is>
      </s:c>
      <s:c r="B26" s="11">
        <s:f>B24-B25</s:f>
        <s:v>-9.094947017729282e-13</s:v>
      </s:c>
      <s:c r="C26" s="11">
        <s:f>C24-C25</s:f>
        <s:v>16.512500000000728</s:v>
      </s:c>
      <s:c r="D26" s="11">
        <s:f>D24-D25</s:f>
        <s:v>1.6764705882369526</s:v>
      </s:c>
    </s:row>
    <s:row r="27">
      <s:c r="A27" s="2" t="inlineStr">
        <s:is>
          <s:t>Sample mean</s:t>
        </s:is>
      </s:c>
      <s:c r="B27" s="11">
        <s:f>SUMPRODUCT($C$8:$C$17,E8:E17)/$C$18</s:f>
        <s:v>6416.662892857144</s:v>
      </s:c>
      <s:c r="C27" s="11">
        <s:f>SUMPRODUCT($C$8:$C$17,F8:F17)/$C$18</s:f>
        <s:v>6748.9491916666675</s:v>
      </s:c>
      <s:c r="D27" s="11">
        <s:f>SUMPRODUCT($C$8:$C$17,G8:G17)/$C$18</s:f>
        <s:v>7037.12601764706</s:v>
      </s:c>
    </s:row>
    <s:row r="28">
      <s:c r="A28" s="2" t="inlineStr">
        <s:is>
          <s:t>Sampling noise</s:t>
        </s:is>
      </s:c>
      <s:c r="B28" s="11">
        <s:f>B25-B27</s:f>
        <s:v>64.7978214285713</s:v>
      </s:c>
      <s:c r="C28" s="11">
        <s:f>C25-C27</s:f>
        <s:v>35.03414166666607</s:v>
      </s:c>
      <s:c r="D28" s="11">
        <s:f>D25-D27</s:f>
        <s:v>25.221041176470862</s:v>
      </s:c>
    </s:row>
    <s:row r="29">
      <s:c r="A29" s="2" t="inlineStr">
        <s:is>
          <s:t>Sample standard deviation</s:t>
        </s:is>
      </s:c>
      <s:c r="B29" s="11">
        <s:f>SQRT(SUMPRODUCT($C$8:$C$17,(E8:E17-B27)^2)/$C$18)</s:f>
        <s:v>1958.391105993916</s:v>
      </s:c>
      <s:c r="C29" s="11">
        <s:f>SQRT(SUMPRODUCT($C$8:$C$17,(F8:F17-C27)^2)/$C$18)</s:f>
        <s:v>1399.2630253297518</s:v>
      </s:c>
      <s:c r="D29" s="11">
        <s:f>SQRT(SUMPRODUCT($C$8:$C$17,(G8:G17-D27)^2)/$C$18)</s:f>
        <s:v>1188.2725552808026</s:v>
      </s:c>
    </s:row>
    <s:row r="30">
      <s:c r="A30" s="2" t="inlineStr">
        <s:is>
          <s:t>Sample 90% quantile</s:t>
        </s:is>
      </s:c>
      <s:c r="B30" s="19">
        <s:f>INDEX(CDF!$C$4:$C$13,MATCH(0.9,CDF!$E$4:$E$13,1)+1)</s:f>
        <s:v>8870.5</s:v>
      </s:c>
      <s:c r="C30" s="19">
        <s:f>INDEX(CDF!$I$4:$I$13,MATCH(0.9,CDF!$K$4:$K$13,1)+1)</s:f>
        <s:v>7502.5</s:v>
      </s:c>
      <s:c r="D30" s="19">
        <s:f>INDEX(CDF!$O$4:$O$13,MATCH(0.9,CDF!$Q$4:$Q$13,1)+1)</s:f>
        <s:v>7343.970588235295</s:v>
      </s:c>
    </s:row>
    <s:row r="31">
      <s:c r="A31" s="2" t="inlineStr">
        <s:is>
          <s:t>CVaR 0.90 of total cost</s:t>
        </s:is>
      </s:c>
      <s:c r="B31" s="19">
        <s:f>MIN(CVaR!C4:C13)</s:f>
        <s:v>11289.81428571429</s:v>
      </s:c>
      <s:c r="C31" s="19">
        <s:f>MIN(CVaR!G4:G13)</s:f>
        <s:v>10601.166666666664</s:v>
      </s:c>
      <s:c r="D31" s="19">
        <s:f>MIN(CVaR!K4:K13)</s:f>
        <s:v>10323.500000000004</s:v>
      </s:c>
    </s:row>
    <s:row r="32">
      <s:c r="A32" s="2" t="inlineStr">
        <s:is>
          <s:t>Sample maximum</s:t>
        </s:is>
      </s:c>
      <s:c r="B32" s="11">
        <s:f>MAX(E8:E17)</s:f>
        <s:v>11894.64285714286</s:v>
      </s:c>
      <s:c r="C32" s="11">
        <s:f>MAX(F8:F17)</s:f>
        <s:v>11375.83333333333</s:v>
      </s:c>
      <s:c r="D32" s="11">
        <s:f>MAX(G8:G17)</s:f>
        <s:v>11068.38235294118</s:v>
      </s:c>
    </s:row>
  </s:sheetData>
  <s:pageMargins left="0.75" right="0.75" top="1" bottom="1" header="0.5" footer="0.5"/>
  <s:legacyDrawing r:id="anysvml"/>
</s:worksheet>
</file>

<file path=xl/worksheets/sheet2.xml><?xml version="1.0" encoding="utf-8"?>
<s:worksheet xmlns:s="http://schemas.openxmlformats.org/spreadsheetml/2006/main">
  <s:sheetPr>
    <s:outlinePr summaryBelow="1" summaryRight="1"/>
    <s:pageSetUpPr/>
  </s:sheetPr>
  <s:dimension ref="A1:Q16"/>
  <s:sheetViews>
    <s:sheetView showGridLines="0" workbookViewId="0">
      <s:selection activeCell="A1" sqref="A1"/>
    </s:sheetView>
  </s:sheetViews>
  <s:sheetFormatPr baseColWidth="8" defaultRowHeight="15"/>
  <s:cols>
    <s:col width="7" customWidth="1" min="1" max="1"/>
    <s:col width="10" customWidth="1" min="2" max="2"/>
    <s:col width="13" customWidth="1" min="3" max="3"/>
    <s:col width="13" customWidth="1" min="4" max="4"/>
    <s:col width="13" customWidth="1" min="5" max="5"/>
    <s:col width="3" customWidth="1" min="6" max="6"/>
    <s:col width="7" customWidth="1" min="7" max="7"/>
    <s:col width="10" customWidth="1" min="8" max="8"/>
    <s:col width="13" customWidth="1" min="9" max="9"/>
    <s:col width="13" customWidth="1" min="10" max="10"/>
    <s:col width="13" customWidth="1" min="11" max="11"/>
    <s:col width="3" customWidth="1" min="12" max="12"/>
    <s:col width="7" customWidth="1" min="13" max="13"/>
    <s:col width="10" customWidth="1" min="14" max="14"/>
    <s:col width="13" customWidth="1" min="15" max="15"/>
    <s:col width="13" customWidth="1" min="16" max="16"/>
    <s:col width="13" customWidth="1" min="17" max="17"/>
    <s:col width="3" customWidth="1" min="18" max="18"/>
  </s:cols>
  <s:sheetData>
    <s:row r="1">
      <s:c r="A1" s="1" t="inlineStr">
        <s:is>
          <s:t>Empirical CDF of total cost, one block per first-stage plan</s:t>
        </s:is>
      </s:c>
    </s:row>
    <s:row r="2">
      <s:c r="A2" s="4" t="inlineStr">
        <s:is>
          <s:t>Scenarios sorted by cost within each block, so the cumulative column is the empirical CDF evaluated at each of the ten atoms. Cost and frequency are pulled from the Data sheet by INDEX/MATCH.</s:t>
        </s:is>
      </s:c>
      <s:c r="C2" s="20" t="inlineStr">
        <s:is>
          <s:t>risk-neutral</s:t>
        </s:is>
      </s:c>
      <s:c r="I2" s="20" t="inlineStr">
        <s:is>
          <s:t>chance-constrained</s:t>
        </s:is>
      </s:c>
      <s:c r="O2" s="20" t="inlineStr">
        <s:is>
          <s:t>chance + CVaR</s:t>
        </s:is>
      </s:c>
    </s:row>
    <s:row r="3">
      <s:c r="A3" s="5" t="inlineStr">
        <s:is>
          <s:t>Rank</s:t>
        </s:is>
      </s:c>
      <s:c r="B3" s="5" t="inlineStr">
        <s:is>
          <s:t>Scenario</s:t>
        </s:is>
      </s:c>
      <s:c r="C3" s="5" t="inlineStr">
        <s:is>
          <s:t>Total cost</s:t>
        </s:is>
      </s:c>
      <s:c r="D3" s="5" t="inlineStr">
        <s:is>
          <s:t>Sample freq.</s:t>
        </s:is>
      </s:c>
      <s:c r="E3" s="5" t="inlineStr">
        <s:is>
          <s:t>Cumulative</s:t>
        </s:is>
      </s:c>
      <s:c r="G3" s="5" t="inlineStr">
        <s:is>
          <s:t>Rank</s:t>
        </s:is>
      </s:c>
      <s:c r="H3" s="5" t="inlineStr">
        <s:is>
          <s:t>Scenario</s:t>
        </s:is>
      </s:c>
      <s:c r="I3" s="5" t="inlineStr">
        <s:is>
          <s:t>Total cost</s:t>
        </s:is>
      </s:c>
      <s:c r="J3" s="5" t="inlineStr">
        <s:is>
          <s:t>Sample freq.</s:t>
        </s:is>
      </s:c>
      <s:c r="K3" s="5" t="inlineStr">
        <s:is>
          <s:t>Cumulative</s:t>
        </s:is>
      </s:c>
      <s:c r="M3" s="5" t="inlineStr">
        <s:is>
          <s:t>Rank</s:t>
        </s:is>
      </s:c>
      <s:c r="N3" s="5" t="inlineStr">
        <s:is>
          <s:t>Scenario</s:t>
        </s:is>
      </s:c>
      <s:c r="O3" s="5" t="inlineStr">
        <s:is>
          <s:t>Total cost</s:t>
        </s:is>
      </s:c>
      <s:c r="P3" s="5" t="inlineStr">
        <s:is>
          <s:t>Sample freq.</s:t>
        </s:is>
      </s:c>
      <s:c r="Q3" s="5" t="inlineStr">
        <s:is>
          <s:t>Cumulative</s:t>
        </s:is>
      </s:c>
    </s:row>
    <s:row r="4">
      <s:c r="A4" s="6" t="n">
        <s:v>1</s:v>
      </s:c>
      <s:c r="B4" s="21" t="n">
        <s:v>1</s:v>
      </s:c>
      <s:c r="C4" s="22">
        <s:f>INDEX(Data!$E$8:$E$17,MATCH($B4,Data!$A$8:$A$17,0))</s:f>
        <s:v>5032.142857142857</s:v>
      </s:c>
      <s:c r="D4" s="23">
        <s:f>INDEX(Data!$D$8:$D$17,MATCH($B4,Data!$A$8:$A$17,0))</s:f>
        <s:v>0.1254</s:v>
      </s:c>
      <s:c r="E4" s="24">
        <s:f>D4</s:f>
        <s:v>0.1254</s:v>
      </s:c>
      <s:c r="G4" s="6" t="n">
        <s:v>1</s:v>
      </s:c>
      <s:c r="H4" s="21" t="n">
        <s:v>1</s:v>
      </s:c>
      <s:c r="I4" s="22">
        <s:f>INDEX(Data!$F$8:$F$17,MATCH($H4,Data!$A$8:$A$17,0))</s:f>
        <s:v>5975.0</s:v>
      </s:c>
      <s:c r="J4" s="23">
        <s:f>INDEX(Data!$D$8:$D$17,MATCH($H4,Data!$A$8:$A$17,0))</s:f>
        <s:v>0.1254</s:v>
      </s:c>
      <s:c r="K4" s="24">
        <s:f>J4</s:f>
        <s:v>0.1254</s:v>
      </s:c>
      <s:c r="M4" s="6" t="n">
        <s:v>1</s:v>
      </s:c>
      <s:c r="N4" s="21" t="n">
        <s:v>1</s:v>
      </s:c>
      <s:c r="O4" s="22">
        <s:f>INDEX(Data!$G$8:$G$17,MATCH($N4,Data!$A$8:$A$17,0))</s:f>
        <s:v>6407.352941176471</s:v>
      </s:c>
      <s:c r="P4" s="23">
        <s:f>INDEX(Data!$D$8:$D$17,MATCH($N4,Data!$A$8:$A$17,0))</s:f>
        <s:v>0.1254</s:v>
      </s:c>
      <s:c r="Q4" s="24">
        <s:f>P4</s:f>
        <s:v>0.1254</s:v>
      </s:c>
    </s:row>
    <s:row r="5">
      <s:c r="A5" s="6" t="n">
        <s:v>2</s:v>
      </s:c>
      <s:c r="B5" s="21" t="n">
        <s:v>2</s:v>
      </s:c>
      <s:c r="C5" s="22">
        <s:f>INDEX(Data!$E$8:$E$17,MATCH($B5,Data!$A$8:$A$17,0))</s:f>
        <s:v>5097.642857142857</s:v>
      </s:c>
      <s:c r="D5" s="23">
        <s:f>INDEX(Data!$D$8:$D$17,MATCH($B5,Data!$A$8:$A$17,0))</s:f>
        <s:v>0.101</s:v>
      </s:c>
      <s:c r="E5" s="24">
        <s:f>E4+D5</s:f>
        <s:v>0.22640000000000002</s:v>
      </s:c>
      <s:c r="G5" s="6" t="n">
        <s:v>2</s:v>
      </s:c>
      <s:c r="H5" s="21" t="n">
        <s:v>2</s:v>
      </s:c>
      <s:c r="I5" s="22">
        <s:f>INDEX(Data!$F$8:$F$17,MATCH($H5,Data!$A$8:$A$17,0))</s:f>
        <s:v>6040.0</s:v>
      </s:c>
      <s:c r="J5" s="23">
        <s:f>INDEX(Data!$D$8:$D$17,MATCH($H5,Data!$A$8:$A$17,0))</s:f>
        <s:v>0.101</s:v>
      </s:c>
      <s:c r="K5" s="24">
        <s:f>K4+J5</s:f>
        <s:v>0.22640000000000002</s:v>
      </s:c>
      <s:c r="M5" s="6" t="n">
        <s:v>2</s:v>
      </s:c>
      <s:c r="N5" s="21" t="n">
        <s:v>2</s:v>
      </s:c>
      <s:c r="O5" s="22">
        <s:f>INDEX(Data!$G$8:$G$17,MATCH($N5,Data!$A$8:$A$17,0))</s:f>
        <s:v>6472.352941176471</s:v>
      </s:c>
      <s:c r="P5" s="23">
        <s:f>INDEX(Data!$D$8:$D$17,MATCH($N5,Data!$A$8:$A$17,0))</s:f>
        <s:v>0.101</s:v>
      </s:c>
      <s:c r="Q5" s="24">
        <s:f>Q4+P5</s:f>
        <s:v>0.22640000000000002</s:v>
      </s:c>
    </s:row>
    <s:row r="6">
      <s:c r="A6" s="6" t="n">
        <s:v>3</s:v>
      </s:c>
      <s:c r="B6" s="21" t="n">
        <s:v>3</s:v>
      </s:c>
      <s:c r="C6" s="22">
        <s:f>INDEX(Data!$E$8:$E$17,MATCH($B6,Data!$A$8:$A$17,0))</s:f>
        <s:v>5187.142857142857</s:v>
      </s:c>
      <s:c r="D6" s="23">
        <s:f>INDEX(Data!$D$8:$D$17,MATCH($B6,Data!$A$8:$A$17,0))</s:f>
        <s:v>0.1064</s:v>
      </s:c>
      <s:c r="E6" s="24">
        <s:f>E5+D6</s:f>
        <s:v>0.3328</s:v>
      </s:c>
      <s:c r="G6" s="6" t="n">
        <s:v>3</s:v>
      </s:c>
      <s:c r="H6" s="21" t="n">
        <s:v>3</s:v>
      </s:c>
      <s:c r="I6" s="22">
        <s:f>INDEX(Data!$F$8:$F$17,MATCH($H6,Data!$A$8:$A$17,0))</s:f>
        <s:v>6090.0</s:v>
      </s:c>
      <s:c r="J6" s="23">
        <s:f>INDEX(Data!$D$8:$D$17,MATCH($H6,Data!$A$8:$A$17,0))</s:f>
        <s:v>0.1064</s:v>
      </s:c>
      <s:c r="K6" s="24">
        <s:f>K5+J6</s:f>
        <s:v>0.3328</s:v>
      </s:c>
      <s:c r="M6" s="6" t="n">
        <s:v>3</s:v>
      </s:c>
      <s:c r="N6" s="21" t="n">
        <s:v>3</s:v>
      </s:c>
      <s:c r="O6" s="22">
        <s:f>INDEX(Data!$G$8:$G$17,MATCH($N6,Data!$A$8:$A$17,0))</s:f>
        <s:v>6522.352941176471</s:v>
      </s:c>
      <s:c r="P6" s="23">
        <s:f>INDEX(Data!$D$8:$D$17,MATCH($N6,Data!$A$8:$A$17,0))</s:f>
        <s:v>0.1064</s:v>
      </s:c>
      <s:c r="Q6" s="24">
        <s:f>Q5+P6</s:f>
        <s:v>0.3328</s:v>
      </s:c>
    </s:row>
    <s:row r="7">
      <s:c r="A7" s="6" t="n">
        <s:v>4</s:v>
      </s:c>
      <s:c r="B7" s="21" t="n">
        <s:v>4</s:v>
      </s:c>
      <s:c r="C7" s="22">
        <s:f>INDEX(Data!$E$8:$E$17,MATCH($B7,Data!$A$8:$A$17,0))</s:f>
        <s:v>5299.642857142857</s:v>
      </s:c>
      <s:c r="D7" s="23">
        <s:f>INDEX(Data!$D$8:$D$17,MATCH($B7,Data!$A$8:$A$17,0))</s:f>
        <s:v>0.0984</s:v>
      </s:c>
      <s:c r="E7" s="24">
        <s:f>E6+D7</s:f>
        <s:v>0.43119999999999997</s:v>
      </s:c>
      <s:c r="G7" s="6" t="n">
        <s:v>4</s:v>
      </s:c>
      <s:c r="H7" s="21" t="n">
        <s:v>4</s:v>
      </s:c>
      <s:c r="I7" s="22">
        <s:f>INDEX(Data!$F$8:$F$17,MATCH($H7,Data!$A$8:$A$17,0))</s:f>
        <s:v>6197.5</s:v>
      </s:c>
      <s:c r="J7" s="23">
        <s:f>INDEX(Data!$D$8:$D$17,MATCH($H7,Data!$A$8:$A$17,0))</s:f>
        <s:v>0.0984</s:v>
      </s:c>
      <s:c r="K7" s="24">
        <s:f>K6+J7</s:f>
        <s:v>0.43119999999999997</s:v>
      </s:c>
      <s:c r="M7" s="6" t="n">
        <s:v>4</s:v>
      </s:c>
      <s:c r="N7" s="21" t="n">
        <s:v>4</s:v>
      </s:c>
      <s:c r="O7" s="22">
        <s:f>INDEX(Data!$G$8:$G$17,MATCH($N7,Data!$A$8:$A$17,0))</s:f>
        <s:v>6629.852941176471</s:v>
      </s:c>
      <s:c r="P7" s="23">
        <s:f>INDEX(Data!$D$8:$D$17,MATCH($N7,Data!$A$8:$A$17,0))</s:f>
        <s:v>0.0984</s:v>
      </s:c>
      <s:c r="Q7" s="24">
        <s:f>Q6+P7</s:f>
        <s:v>0.43119999999999997</s:v>
      </s:c>
    </s:row>
    <s:row r="8">
      <s:c r="A8" s="6" t="n">
        <s:v>5</s:v>
      </s:c>
      <s:c r="B8" s="21" t="n">
        <s:v>5</s:v>
      </s:c>
      <s:c r="C8" s="22">
        <s:f>INDEX(Data!$E$8:$E$17,MATCH($B8,Data!$A$8:$A$17,0))</s:f>
        <s:v>5340.142857142857</s:v>
      </s:c>
      <s:c r="D8" s="23">
        <s:f>INDEX(Data!$D$8:$D$17,MATCH($B8,Data!$A$8:$A$17,0))</s:f>
        <s:v>0.102</s:v>
      </s:c>
      <s:c r="E8" s="24">
        <s:f>E7+D8</s:f>
        <s:v>0.5332</s:v>
      </s:c>
      <s:c r="G8" s="6" t="n">
        <s:v>5</s:v>
      </s:c>
      <s:c r="H8" s="21" t="n">
        <s:v>5</s:v>
      </s:c>
      <s:c r="I8" s="22">
        <s:f>INDEX(Data!$F$8:$F$17,MATCH($H8,Data!$A$8:$A$17,0))</s:f>
        <s:v>6231.0</s:v>
      </s:c>
      <s:c r="J8" s="23">
        <s:f>INDEX(Data!$D$8:$D$17,MATCH($H8,Data!$A$8:$A$17,0))</s:f>
        <s:v>0.102</s:v>
      </s:c>
      <s:c r="K8" s="24">
        <s:f>K7+J8</s:f>
        <s:v>0.5332</s:v>
      </s:c>
      <s:c r="M8" s="6" t="n">
        <s:v>5</s:v>
      </s:c>
      <s:c r="N8" s="21" t="n">
        <s:v>5</s:v>
      </s:c>
      <s:c r="O8" s="22">
        <s:f>INDEX(Data!$G$8:$G$17,MATCH($N8,Data!$A$8:$A$17,0))</s:f>
        <s:v>6663.352941176471</s:v>
      </s:c>
      <s:c r="P8" s="23">
        <s:f>INDEX(Data!$D$8:$D$17,MATCH($N8,Data!$A$8:$A$17,0))</s:f>
        <s:v>0.102</s:v>
      </s:c>
      <s:c r="Q8" s="24">
        <s:f>Q7+P8</s:f>
        <s:v>0.5332</s:v>
      </s:c>
    </s:row>
    <s:row r="9">
      <s:c r="A9" s="6" t="n">
        <s:v>6</s:v>
      </s:c>
      <s:c r="B9" s="21" t="n">
        <s:v>6</s:v>
      </s:c>
      <s:c r="C9" s="22">
        <s:f>INDEX(Data!$E$8:$E$17,MATCH($B9,Data!$A$8:$A$17,0))</s:f>
        <s:v>5604.178571428571</s:v>
      </s:c>
      <s:c r="D9" s="23">
        <s:f>INDEX(Data!$D$8:$D$17,MATCH($B9,Data!$A$8:$A$17,0))</s:f>
        <s:v>0.0982</s:v>
      </s:c>
      <s:c r="E9" s="24">
        <s:f>E8+D9</s:f>
        <s:v>0.6314</s:v>
      </s:c>
      <s:c r="G9" s="6" t="n">
        <s:v>6</s:v>
      </s:c>
      <s:c r="H9" s="21" t="n">
        <s:v>6</s:v>
      </s:c>
      <s:c r="I9" s="22">
        <s:f>INDEX(Data!$F$8:$F$17,MATCH($H9,Data!$A$8:$A$17,0))</s:f>
        <s:v>6279.5</s:v>
      </s:c>
      <s:c r="J9" s="23">
        <s:f>INDEX(Data!$D$8:$D$17,MATCH($H9,Data!$A$8:$A$17,0))</s:f>
        <s:v>0.0982</s:v>
      </s:c>
      <s:c r="K9" s="24">
        <s:f>K8+J9</s:f>
        <s:v>0.6314</s:v>
      </s:c>
      <s:c r="M9" s="6" t="n">
        <s:v>6</s:v>
      </s:c>
      <s:c r="N9" s="21" t="n">
        <s:v>6</s:v>
      </s:c>
      <s:c r="O9" s="22">
        <s:f>INDEX(Data!$G$8:$G$17,MATCH($N9,Data!$A$8:$A$17,0))</s:f>
        <s:v>6711.852941176471</s:v>
      </s:c>
      <s:c r="P9" s="23">
        <s:f>INDEX(Data!$D$8:$D$17,MATCH($N9,Data!$A$8:$A$17,0))</s:f>
        <s:v>0.0982</s:v>
      </s:c>
      <s:c r="Q9" s="24">
        <s:f>Q8+P9</s:f>
        <s:v>0.6314</s:v>
      </s:c>
    </s:row>
    <s:row r="10">
      <s:c r="A10" s="6" t="n">
        <s:v>7</s:v>
      </s:c>
      <s:c r="B10" s="21" t="n">
        <s:v>7</s:v>
      </s:c>
      <s:c r="C10" s="22">
        <s:f>INDEX(Data!$E$8:$E$17,MATCH($B10,Data!$A$8:$A$17,0))</s:f>
        <s:v>6338.857142857142</s:v>
      </s:c>
      <s:c r="D10" s="23">
        <s:f>INDEX(Data!$D$8:$D$17,MATCH($B10,Data!$A$8:$A$17,0))</s:f>
        <s:v>0.1054</s:v>
      </s:c>
      <s:c r="E10" s="24">
        <s:f>E9+D10</s:f>
        <s:v>0.7367999999999999</s:v>
      </s:c>
      <s:c r="G10" s="6" t="n">
        <s:v>7</s:v>
      </s:c>
      <s:c r="H10" s="21" t="n">
        <s:v>7</s:v>
      </s:c>
      <s:c r="I10" s="22">
        <s:f>INDEX(Data!$F$8:$F$17,MATCH($H10,Data!$A$8:$A$17,0))</s:f>
        <s:v>6365.625</s:v>
      </s:c>
      <s:c r="J10" s="23">
        <s:f>INDEX(Data!$D$8:$D$17,MATCH($H10,Data!$A$8:$A$17,0))</s:f>
        <s:v>0.1054</s:v>
      </s:c>
      <s:c r="K10" s="24">
        <s:f>K9+J10</s:f>
        <s:v>0.7367999999999999</s:v>
      </s:c>
      <s:c r="M10" s="6" t="n">
        <s:v>7</s:v>
      </s:c>
      <s:c r="N10" s="21" t="n">
        <s:v>7</s:v>
      </s:c>
      <s:c r="O10" s="22">
        <s:f>INDEX(Data!$G$8:$G$17,MATCH($N10,Data!$A$8:$A$17,0))</s:f>
        <s:v>6777.352941176471</s:v>
      </s:c>
      <s:c r="P10" s="23">
        <s:f>INDEX(Data!$D$8:$D$17,MATCH($N10,Data!$A$8:$A$17,0))</s:f>
        <s:v>0.1054</s:v>
      </s:c>
      <s:c r="Q10" s="24">
        <s:f>Q9+P10</s:f>
        <s:v>0.7367999999999999</s:v>
      </s:c>
    </s:row>
    <s:row r="11">
      <s:c r="A11" s="6" t="n">
        <s:v>8</s:v>
      </s:c>
      <s:c r="B11" s="21" t="n">
        <s:v>9</s:v>
      </s:c>
      <s:c r="C11" s="22">
        <s:f>INDEX(Data!$E$8:$E$17,MATCH($B11,Data!$A$8:$A$17,0))</s:f>
        <s:v>7522.214285714285</s:v>
      </s:c>
      <s:c r="D11" s="23">
        <s:f>INDEX(Data!$D$8:$D$17,MATCH($B11,Data!$A$8:$A$17,0))</s:f>
        <s:v>0.098</s:v>
      </s:c>
      <s:c r="E11" s="24">
        <s:f>E10+D11</s:f>
        <s:v>0.8347999999999999</s:v>
      </s:c>
      <s:c r="G11" s="6" t="n">
        <s:v>8</s:v>
      </s:c>
      <s:c r="H11" s="21" t="n">
        <s:v>9</s:v>
      </s:c>
      <s:c r="I11" s="22">
        <s:f>INDEX(Data!$F$8:$F$17,MATCH($H11,Data!$A$8:$A$17,0))</s:f>
        <s:v>6863.041666666667</s:v>
      </s:c>
      <s:c r="J11" s="23">
        <s:f>INDEX(Data!$D$8:$D$17,MATCH($H11,Data!$A$8:$A$17,0))</s:f>
        <s:v>0.098</s:v>
      </s:c>
      <s:c r="K11" s="24">
        <s:f>K10+J11</s:f>
        <s:v>0.8347999999999999</s:v>
      </s:c>
      <s:c r="M11" s="6" t="n">
        <s:v>8</s:v>
      </s:c>
      <s:c r="N11" s="21" t="n">
        <s:v>9</s:v>
      </s:c>
      <s:c r="O11" s="22">
        <s:f>INDEX(Data!$G$8:$G$17,MATCH($N11,Data!$A$8:$A$17,0))</s:f>
        <s:v>6958.852941176471</s:v>
      </s:c>
      <s:c r="P11" s="23">
        <s:f>INDEX(Data!$D$8:$D$17,MATCH($N11,Data!$A$8:$A$17,0))</s:f>
        <s:v>0.098</s:v>
      </s:c>
      <s:c r="Q11" s="24">
        <s:f>Q10+P11</s:f>
        <s:v>0.8347999999999999</s:v>
      </s:c>
    </s:row>
    <s:row r="12">
      <s:c r="A12" s="6" t="n">
        <s:v>9</s:v>
      </s:c>
      <s:c r="B12" s="21" t="n">
        <s:v>8</s:v>
      </s:c>
      <s:c r="C12" s="22">
        <s:f>INDEX(Data!$E$8:$E$17,MATCH($B12,Data!$A$8:$A$17,0))</s:f>
        <s:v>8870.5</s:v>
      </s:c>
      <s:c r="D12" s="23">
        <s:f>INDEX(Data!$D$8:$D$17,MATCH($B12,Data!$A$8:$A$17,0))</s:f>
        <s:v>0.0886</s:v>
      </s:c>
      <s:c r="E12" s="24">
        <s:f>E11+D12</s:f>
        <s:v>0.9233999999999999</s:v>
      </s:c>
      <s:c r="G12" s="6" t="n">
        <s:v>9</s:v>
      </s:c>
      <s:c r="H12" s="21" t="n">
        <s:v>8</s:v>
      </s:c>
      <s:c r="I12" s="22">
        <s:f>INDEX(Data!$F$8:$F$17,MATCH($H12,Data!$A$8:$A$17,0))</s:f>
        <s:v>7502.5</s:v>
      </s:c>
      <s:c r="J12" s="23">
        <s:f>INDEX(Data!$D$8:$D$17,MATCH($H12,Data!$A$8:$A$17,0))</s:f>
        <s:v>0.0886</s:v>
      </s:c>
      <s:c r="K12" s="24">
        <s:f>K11+J12</s:f>
        <s:v>0.9233999999999999</s:v>
      </s:c>
      <s:c r="M12" s="6" t="n">
        <s:v>9</s:v>
      </s:c>
      <s:c r="N12" s="21" t="n">
        <s:v>8</s:v>
      </s:c>
      <s:c r="O12" s="22">
        <s:f>INDEX(Data!$G$8:$G$17,MATCH($N12,Data!$A$8:$A$17,0))</s:f>
        <s:v>7343.970588235295</s:v>
      </s:c>
      <s:c r="P12" s="23">
        <s:f>INDEX(Data!$D$8:$D$17,MATCH($N12,Data!$A$8:$A$17,0))</s:f>
        <s:v>0.0886</s:v>
      </s:c>
      <s:c r="Q12" s="24">
        <s:f>Q11+P12</s:f>
        <s:v>0.9233999999999999</s:v>
      </s:c>
    </s:row>
    <s:row r="13">
      <s:c r="A13" s="6" t="n">
        <s:v>10</s:v>
      </s:c>
      <s:c r="B13" s="21" t="n">
        <s:v>10</s:v>
      </s:c>
      <s:c r="C13" s="22">
        <s:f>INDEX(Data!$E$8:$E$17,MATCH($B13,Data!$A$8:$A$17,0))</s:f>
        <s:v>11894.64285714286</s:v>
      </s:c>
      <s:c r="D13" s="23">
        <s:f>INDEX(Data!$D$8:$D$17,MATCH($B13,Data!$A$8:$A$17,0))</s:f>
        <s:v>0.0766</s:v>
      </s:c>
      <s:c r="E13" s="24">
        <s:f>E12+D13</s:f>
        <s:v>0.9999999999999999</s:v>
      </s:c>
      <s:c r="G13" s="6" t="n">
        <s:v>10</s:v>
      </s:c>
      <s:c r="H13" s="21" t="n">
        <s:v>10</s:v>
      </s:c>
      <s:c r="I13" s="22">
        <s:f>INDEX(Data!$F$8:$F$17,MATCH($H13,Data!$A$8:$A$17,0))</s:f>
        <s:v>11375.83333333333</s:v>
      </s:c>
      <s:c r="J13" s="23">
        <s:f>INDEX(Data!$D$8:$D$17,MATCH($H13,Data!$A$8:$A$17,0))</s:f>
        <s:v>0.0766</s:v>
      </s:c>
      <s:c r="K13" s="24">
        <s:f>K12+J13</s:f>
        <s:v>0.9999999999999999</s:v>
      </s:c>
      <s:c r="M13" s="6" t="n">
        <s:v>10</s:v>
      </s:c>
      <s:c r="N13" s="21" t="n">
        <s:v>10</s:v>
      </s:c>
      <s:c r="O13" s="22">
        <s:f>INDEX(Data!$G$8:$G$17,MATCH($N13,Data!$A$8:$A$17,0))</s:f>
        <s:v>11068.38235294118</s:v>
      </s:c>
      <s:c r="P13" s="23">
        <s:f>INDEX(Data!$D$8:$D$17,MATCH($N13,Data!$A$8:$A$17,0))</s:f>
        <s:v>0.0766</s:v>
      </s:c>
      <s:c r="Q13" s="24">
        <s:f>Q12+P13</s:f>
        <s:v>0.9999999999999999</s:v>
      </s:c>
    </s:row>
    <s:row r="14">
      <s:c r="A14" s="12" t="inlineStr">
        <s:is>
          <s:t>Total</s:t>
        </s:is>
      </s:c>
      <s:c r="B14" s="16" t="n"/>
      <s:c r="C14" s="16" t="n"/>
      <s:c r="D14" s="25">
        <s:f>SUM(D4:D13)</s:f>
        <s:v>1.0</s:v>
      </s:c>
      <s:c r="E14" s="16" t="n"/>
      <s:c r="G14" s="12" t="inlineStr">
        <s:is>
          <s:t>Total</s:t>
        </s:is>
      </s:c>
      <s:c r="H14" s="16" t="n"/>
      <s:c r="I14" s="16" t="n"/>
      <s:c r="J14" s="25">
        <s:f>SUM(J4:J13)</s:f>
        <s:v>1.0</s:v>
      </s:c>
      <s:c r="K14" s="16" t="n"/>
      <s:c r="M14" s="12" t="inlineStr">
        <s:is>
          <s:t>Total</s:t>
        </s:is>
      </s:c>
      <s:c r="N14" s="16" t="n"/>
      <s:c r="O14" s="16" t="n"/>
      <s:c r="P14" s="25">
        <s:f>SUM(P4:P13)</s:f>
        <s:v>1.0</s:v>
      </s:c>
      <s:c r="Q14" s="16" t="n"/>
    </s:row>
    <s:row r="16">
      <s:c r="A16" s="4" t="inlineStr">
        <s:is>
          <s:t>The Data sheet's 90% quantile formula reads the first cost in each block whose cumulative frequency exceeds 0.90. That is the standard definition and here it also matches linear interpolation over the 5,000 sorted draws, because 0.90 falls strictly inside an atom.</s:t>
        </s:is>
      </s:c>
    </s:row>
  </s:sheetData>
  <s:pageMargins left="0.75" right="0.75" top="1" bottom="1" header="0.5" footer="0.5"/>
</s:worksheet>
</file>

<file path=xl/worksheets/sheet3.xml><?xml version="1.0" encoding="utf-8"?>
<s:worksheet xmlns:s="http://schemas.openxmlformats.org/spreadsheetml/2006/main">
  <s:sheetPr>
    <s:outlinePr summaryBelow="1" summaryRight="1"/>
    <s:pageSetUpPr/>
  </s:sheetPr>
  <s:dimension ref="A1:K15"/>
  <s:sheetViews>
    <s:sheetView showGridLines="0" workbookViewId="0">
      <s:selection activeCell="A1" sqref="A1"/>
    </s:sheetView>
  </s:sheetViews>
  <s:sheetFormatPr baseColWidth="8" defaultRowHeight="15"/>
  <s:cols>
    <s:col width="15" customWidth="1" min="1" max="1"/>
    <s:col width="15" customWidth="1" min="2" max="2"/>
    <s:col width="18" customWidth="1" min="3" max="3"/>
    <s:col width="3" customWidth="1" min="4" max="4"/>
    <s:col width="15" customWidth="1" min="5" max="5"/>
    <s:col width="15" customWidth="1" min="6" max="6"/>
    <s:col width="18" customWidth="1" min="7" max="7"/>
    <s:col width="3" customWidth="1" min="8" max="8"/>
    <s:col width="15" customWidth="1" min="9" max="9"/>
    <s:col width="15" customWidth="1" min="10" max="10"/>
    <s:col width="18" customWidth="1" min="11" max="11"/>
    <s:col width="3" customWidth="1" min="12" max="12"/>
  </s:cols>
  <s:sheetData>
    <s:row r="1">
      <s:c r="A1" s="1" t="inlineStr">
        <s:is>
          <s:t>CVaR 0.90 of total cost, by minimising the Rockafellar-Uryasev form</s:t>
        </s:is>
      </s:c>
    </s:row>
    <s:row r="2">
      <s:c r="A2" s="4" t="inlineStr">
        <s:is>
          <s:t>CVaR(L) = min over eta of eta + E[(L-eta)+]/(1-alpha). The minimum over eta is attained at one of the atoms, so each block evaluates the bracket at all ten and the Data sheet takes the MIN. True probabilities p_s are used here, not sample frequencies, matching p1_relief.py.</s:t>
        </s:is>
      </s:c>
      <s:c r="B2" s="3" t="inlineStr">
        <s:is>
          <s:t>risk-neutral</s:t>
        </s:is>
      </s:c>
      <s:c r="F2" s="3" t="inlineStr">
        <s:is>
          <s:t>chance-constrained</s:t>
        </s:is>
      </s:c>
      <s:c r="J2" s="3" t="inlineStr">
        <s:is>
          <s:t>chance + CVaR</s:t>
        </s:is>
      </s:c>
    </s:row>
    <s:row r="3">
      <s:c r="A3" s="5" t="inlineStr">
        <s:is>
          <s:t>Candidate eta</s:t>
        </s:is>
      </s:c>
      <s:c r="B3" s="5" t="inlineStr">
        <s:is>
          <s:t>E[(L-eta)+]</s:t>
        </s:is>
      </s:c>
      <s:c r="C3" s="5" t="inlineStr">
        <s:is>
          <s:t>eta + E/(1-alpha)</s:t>
        </s:is>
      </s:c>
      <s:c r="E3" s="5" t="inlineStr">
        <s:is>
          <s:t>Candidate eta</s:t>
        </s:is>
      </s:c>
      <s:c r="F3" s="5" t="inlineStr">
        <s:is>
          <s:t>E[(L-eta)+]</s:t>
        </s:is>
      </s:c>
      <s:c r="G3" s="5" t="inlineStr">
        <s:is>
          <s:t>eta + E/(1-alpha)</s:t>
        </s:is>
      </s:c>
      <s:c r="I3" s="5" t="inlineStr">
        <s:is>
          <s:t>Candidate eta</s:t>
        </s:is>
      </s:c>
      <s:c r="J3" s="5" t="inlineStr">
        <s:is>
          <s:t>E[(L-eta)+]</s:t>
        </s:is>
      </s:c>
      <s:c r="K3" s="5" t="inlineStr">
        <s:is>
          <s:t>eta + E/(1-alpha)</s:t>
        </s:is>
      </s:c>
    </s:row>
    <s:row r="4">
      <s:c r="A4" s="19">
        <s:f>CDF!C4</s:f>
        <s:v>5032.142857142857</s:v>
      </s:c>
      <s:c r="B4" s="11">
        <s:f>SUMIF(Data!$E$8:$E$17,"&gt;"&amp;A4,Data!$H$8:$H$17)-A4*SUMIF(Data!$E$8:$E$17,"&gt;"&amp;A4,Data!$B$8:$B$17)</s:f>
        <s:v>1449.317857142858</s:v>
      </s:c>
      <s:c r="C4" s="11">
        <s:f>A4+B4/(1-$B$15)</s:f>
        <s:v>19525.321428571442</s:v>
      </s:c>
      <s:c r="E4" s="19">
        <s:f>CDF!I4</s:f>
        <s:v>5975.0</s:v>
      </s:c>
      <s:c r="F4" s="11">
        <s:f>SUMIF(Data!$F$8:$F$17,"&gt;"&amp;E4,Data!$I$8:$I$17)-E4*SUMIF(Data!$F$8:$F$17,"&gt;"&amp;E4,Data!$B$8:$B$17)</s:f>
        <s:v>808.9833333333327</s:v>
      </s:c>
      <s:c r="G4" s="11">
        <s:f>E4+F4/(1-$B$15)</s:f>
        <s:v>14064.833333333328</s:v>
      </s:c>
      <s:c r="I4" s="19">
        <s:f>CDF!O4</s:f>
        <s:v>6407.352941176471</s:v>
      </s:c>
      <s:c r="J4" s="11">
        <s:f>SUMIF(Data!$G$8:$G$17,"&gt;"&amp;I4,Data!$J$8:$J$17)-I4*SUMIF(Data!$G$8:$G$17,"&gt;"&amp;I4,Data!$B$8:$B$17)</s:f>
        <s:v>654.9941176470602</s:v>
      </s:c>
      <s:c r="K4" s="11">
        <s:f>I4+J4/(1-$B$15)</s:f>
        <s:v>12957.294117647074</s:v>
      </s:c>
    </s:row>
    <s:row r="5">
      <s:c r="A5" s="19">
        <s:f>CDF!C5</s:f>
        <s:v>5097.642857142857</s:v>
      </s:c>
      <s:c r="B5" s="11">
        <s:f>SUMIF(Data!$E$8:$E$17,"&gt;"&amp;A5,Data!$H$8:$H$17)-A5*SUMIF(Data!$E$8:$E$17,"&gt;"&amp;A5,Data!$B$8:$B$17)</s:f>
        <s:v>1391.6778571428576</s:v>
      </s:c>
      <s:c r="C5" s="11">
        <s:f>A5+B5/(1-$B$15)</s:f>
        <s:v>19014.421428571437</s:v>
      </s:c>
      <s:c r="E5" s="19">
        <s:f>CDF!I5</s:f>
        <s:v>6040.0</s:v>
      </s:c>
      <s:c r="F5" s="11">
        <s:f>SUMIF(Data!$F$8:$F$17,"&gt;"&amp;E5,Data!$I$8:$I$17)-E5*SUMIF(Data!$F$8:$F$17,"&gt;"&amp;E5,Data!$B$8:$B$17)</s:f>
        <s:v>751.7833333333338</s:v>
      </s:c>
      <s:c r="G5" s="11">
        <s:f>E5+F5/(1-$B$15)</s:f>
        <s:v>13557.83333333334</s:v>
      </s:c>
      <s:c r="I5" s="19">
        <s:f>CDF!O5</s:f>
        <s:v>6472.352941176471</s:v>
      </s:c>
      <s:c r="J5" s="11">
        <s:f>SUMIF(Data!$G$8:$G$17,"&gt;"&amp;I5,Data!$J$8:$J$17)-I5*SUMIF(Data!$G$8:$G$17,"&gt;"&amp;I5,Data!$B$8:$B$17)</s:f>
        <s:v>597.7941176470595</s:v>
      </s:c>
      <s:c r="K5" s="11">
        <s:f>I5+J5/(1-$B$15)</s:f>
        <s:v>12450.294117647067</s:v>
      </s:c>
    </s:row>
    <s:row r="6">
      <s:c r="A6" s="19">
        <s:f>CDF!C6</s:f>
        <s:v>5187.142857142857</s:v>
      </s:c>
      <s:c r="B6" s="11">
        <s:f>SUMIF(Data!$E$8:$E$17,"&gt;"&amp;A6,Data!$H$8:$H$17)-A6*SUMIF(Data!$E$8:$E$17,"&gt;"&amp;A6,Data!$B$8:$B$17)</s:f>
        <s:v>1321.8678571428577</s:v>
      </s:c>
      <s:c r="C6" s="11">
        <s:f>A6+B6/(1-$B$15)</s:f>
        <s:v>18405.821428571435</s:v>
      </s:c>
      <s:c r="E6" s="19">
        <s:f>CDF!I6</s:f>
        <s:v>6090.0</s:v>
      </s:c>
      <s:c r="F6" s="11">
        <s:f>SUMIF(Data!$F$8:$F$17,"&gt;"&amp;E6,Data!$I$8:$I$17)-E6*SUMIF(Data!$F$8:$F$17,"&gt;"&amp;E6,Data!$B$8:$B$17)</s:f>
        <s:v>712.7833333333338</s:v>
      </s:c>
      <s:c r="G6" s="11">
        <s:f>E6+F6/(1-$B$15)</s:f>
        <s:v>13217.83333333334</s:v>
      </s:c>
      <s:c r="I6" s="19">
        <s:f>CDF!O6</s:f>
        <s:v>6522.352941176471</s:v>
      </s:c>
      <s:c r="J6" s="11">
        <s:f>SUMIF(Data!$G$8:$G$17,"&gt;"&amp;I6,Data!$J$8:$J$17)-I6*SUMIF(Data!$G$8:$G$17,"&gt;"&amp;I6,Data!$B$8:$B$17)</s:f>
        <s:v>558.7941176470604</s:v>
      </s:c>
      <s:c r="K6" s="11">
        <s:f>I6+J6/(1-$B$15)</s:f>
        <s:v>12110.294117647076</s:v>
      </s:c>
    </s:row>
    <s:row r="7">
      <s:c r="A7" s="19">
        <s:f>CDF!C7</s:f>
        <s:v>5299.642857142857</s:v>
      </s:c>
      <s:c r="B7" s="11">
        <s:f>SUMIF(Data!$E$8:$E$17,"&gt;"&amp;A7,Data!$H$8:$H$17)-A7*SUMIF(Data!$E$8:$E$17,"&gt;"&amp;A7,Data!$B$8:$B$17)</s:f>
        <s:v>1245.3678571428577</s:v>
      </s:c>
      <s:c r="C7" s="11">
        <s:f>A7+B7/(1-$B$15)</s:f>
        <s:v>17753.321428571435</s:v>
      </s:c>
      <s:c r="E7" s="19">
        <s:f>CDF!I7</s:f>
        <s:v>6197.5</s:v>
      </s:c>
      <s:c r="F7" s="11">
        <s:f>SUMIF(Data!$F$8:$F$17,"&gt;"&amp;E7,Data!$I$8:$I$17)-E7*SUMIF(Data!$F$8:$F$17,"&gt;"&amp;E7,Data!$B$8:$B$17)</s:f>
        <s:v>639.6833333333338</s:v>
      </s:c>
      <s:c r="G7" s="11">
        <s:f>E7+F7/(1-$B$15)</s:f>
        <s:v>12594.33333333334</s:v>
      </s:c>
      <s:c r="I7" s="19">
        <s:f>CDF!O7</s:f>
        <s:v>6629.852941176471</s:v>
      </s:c>
      <s:c r="J7" s="11">
        <s:f>SUMIF(Data!$G$8:$G$17,"&gt;"&amp;I7,Data!$J$8:$J$17)-I7*SUMIF(Data!$G$8:$G$17,"&gt;"&amp;I7,Data!$B$8:$B$17)</s:f>
        <s:v>485.69411764706047</s:v>
      </s:c>
      <s:c r="K7" s="11">
        <s:f>I7+J7/(1-$B$15)</s:f>
        <s:v>11486.794117647078</s:v>
      </s:c>
    </s:row>
    <s:row r="8">
      <s:c r="A8" s="19">
        <s:f>CDF!C8</s:f>
        <s:v>5340.142857142857</s:v>
      </s:c>
      <s:c r="B8" s="11">
        <s:f>SUMIF(Data!$E$8:$E$17,"&gt;"&amp;A8,Data!$H$8:$H$17)-A8*SUMIF(Data!$E$8:$E$17,"&gt;"&amp;A8,Data!$B$8:$B$17)</s:f>
        <s:v>1221.877857142857</s:v>
      </s:c>
      <s:c r="C8" s="11">
        <s:f>A8+B8/(1-$B$15)</s:f>
        <s:v>17558.92142857143</s:v>
      </s:c>
      <s:c r="E8" s="19">
        <s:f>CDF!I8</s:f>
        <s:v>6231.0</s:v>
      </s:c>
      <s:c r="F8" s="11">
        <s:f>SUMIF(Data!$F$8:$F$17,"&gt;"&amp;E8,Data!$I$8:$I$17)-E8*SUMIF(Data!$F$8:$F$17,"&gt;"&amp;E8,Data!$B$8:$B$17)</s:f>
        <s:v>620.2533333333331</s:v>
      </s:c>
      <s:c r="G8" s="11">
        <s:f>E8+F8/(1-$B$15)</s:f>
        <s:v>12433.533333333333</s:v>
      </s:c>
      <s:c r="I8" s="19">
        <s:f>CDF!O8</s:f>
        <s:v>6663.352941176471</s:v>
      </s:c>
      <s:c r="J8" s="11">
        <s:f>SUMIF(Data!$G$8:$G$17,"&gt;"&amp;I8,Data!$J$8:$J$17)-I8*SUMIF(Data!$G$8:$G$17,"&gt;"&amp;I8,Data!$B$8:$B$17)</s:f>
        <s:v>466.2641176470597</s:v>
      </s:c>
      <s:c r="K8" s="11">
        <s:f>I8+J8/(1-$B$15)</s:f>
        <s:v>11325.99411764707</s:v>
      </s:c>
    </s:row>
    <s:row r="9">
      <s:c r="A9" s="19">
        <s:f>CDF!C9</s:f>
        <s:v>5604.178571428571</s:v>
      </s:c>
      <s:c r="B9" s="11">
        <s:f>SUMIF(Data!$E$8:$E$17,"&gt;"&amp;A9,Data!$H$8:$H$17)-A9*SUMIF(Data!$E$8:$E$17,"&gt;"&amp;A9,Data!$B$8:$B$17)</s:f>
        <s:v>1095.1407142857147</s:v>
      </s:c>
      <s:c r="C9" s="11">
        <s:f>A9+B9/(1-$B$15)</s:f>
        <s:v>16555.58571428572</s:v>
      </s:c>
      <s:c r="E9" s="19">
        <s:f>CDF!I9</s:f>
        <s:v>6279.5</s:v>
      </s:c>
      <s:c r="F9" s="11">
        <s:f>SUMIF(Data!$F$8:$F$17,"&gt;"&amp;E9,Data!$I$8:$I$17)-E9*SUMIF(Data!$F$8:$F$17,"&gt;"&amp;E9,Data!$B$8:$B$17)</s:f>
        <s:v>596.9733333333329</s:v>
      </s:c>
      <s:c r="G9" s="11">
        <s:f>E9+F9/(1-$B$15)</s:f>
        <s:v>12249.23333333333</s:v>
      </s:c>
      <s:c r="I9" s="19">
        <s:f>CDF!O9</s:f>
        <s:v>6711.852941176471</s:v>
      </s:c>
      <s:c r="J9" s="11">
        <s:f>SUMIF(Data!$G$8:$G$17,"&gt;"&amp;I9,Data!$J$8:$J$17)-I9*SUMIF(Data!$G$8:$G$17,"&gt;"&amp;I9,Data!$B$8:$B$17)</s:f>
        <s:v>442.98411764705907</s:v>
      </s:c>
      <s:c r="K9" s="11">
        <s:f>I9+J9/(1-$B$15)</s:f>
        <s:v>11141.694117647063</s:v>
      </s:c>
    </s:row>
    <s:row r="10">
      <s:c r="A10" s="19">
        <s:f>CDF!C10</s:f>
        <s:v>6338.857142857142</s:v>
      </s:c>
      <s:c r="B10" s="11">
        <s:f>SUMIF(Data!$E$8:$E$17,"&gt;"&amp;A10,Data!$H$8:$H$17)-A10*SUMIF(Data!$E$8:$E$17,"&gt;"&amp;A10,Data!$B$8:$B$17)</s:f>
        <s:v>815.9628571428577</s:v>
      </s:c>
      <s:c r="C10" s="11">
        <s:f>A10+B10/(1-$B$15)</s:f>
        <s:v>14498.485714285722</s:v>
      </s:c>
      <s:c r="E10" s="19">
        <s:f>CDF!I10</s:f>
        <s:v>6365.625</s:v>
      </s:c>
      <s:c r="F10" s="11">
        <s:f>SUMIF(Data!$F$8:$F$17,"&gt;"&amp;E10,Data!$I$8:$I$17)-E10*SUMIF(Data!$F$8:$F$17,"&gt;"&amp;E10,Data!$B$8:$B$17)</s:f>
        <s:v>564.2458333333332</s:v>
      </s:c>
      <s:c r="G10" s="11">
        <s:f>E10+F10/(1-$B$15)</s:f>
        <s:v>12008.083333333332</s:v>
      </s:c>
      <s:c r="I10" s="19">
        <s:f>CDF!O10</s:f>
        <s:v>6777.352941176471</s:v>
      </s:c>
      <s:c r="J10" s="11">
        <s:f>SUMIF(Data!$G$8:$G$17,"&gt;"&amp;I10,Data!$J$8:$J$17)-I10*SUMIF(Data!$G$8:$G$17,"&gt;"&amp;I10,Data!$B$8:$B$17)</s:f>
        <s:v>418.0941176470592</s:v>
      </s:c>
      <s:c r="K10" s="11">
        <s:f>I10+J10/(1-$B$15)</s:f>
        <s:v>10958.294117647063</s:v>
      </s:c>
    </s:row>
    <s:row r="11">
      <s:c r="A11" s="19">
        <s:f>CDF!C11</s:f>
        <s:v>7522.214285714285</s:v>
      </s:c>
      <s:c r="B11" s="11">
        <s:f>SUMIF(Data!$E$8:$E$17,"&gt;"&amp;A11,Data!$H$8:$H$17)-A11*SUMIF(Data!$E$8:$E$17,"&gt;"&amp;A11,Data!$B$8:$B$17)</s:f>
        <s:v>484.6228571428578</s:v>
      </s:c>
      <s:c r="C11" s="11">
        <s:f>A11+B11/(1-$B$15)</s:f>
        <s:v>12368.442857142865</s:v>
      </s:c>
      <s:c r="E11" s="19">
        <s:f>CDF!I11</s:f>
        <s:v>6863.041666666667</s:v>
      </s:c>
      <s:c r="F11" s="11">
        <s:f>SUMIF(Data!$F$8:$F$17,"&gt;"&amp;E11,Data!$I$8:$I$17)-E11*SUMIF(Data!$F$8:$F$17,"&gt;"&amp;E11,Data!$B$8:$B$17)</s:f>
        <s:v>424.9691666666665</s:v>
      </s:c>
      <s:c r="G11" s="11">
        <s:f>E11+F11/(1-$B$15)</s:f>
        <s:v>11112.733333333334</s:v>
      </s:c>
      <s:c r="I11" s="19">
        <s:f>CDF!O11</s:f>
        <s:v>6958.852941176471</s:v>
      </s:c>
      <s:c r="J11" s="11">
        <s:f>SUMIF(Data!$G$8:$G$17,"&gt;"&amp;I11,Data!$J$8:$J$17)-I11*SUMIF(Data!$G$8:$G$17,"&gt;"&amp;I11,Data!$B$8:$B$17)</s:f>
        <s:v>367.27411764705903</s:v>
      </s:c>
      <s:c r="K11" s="11">
        <s:f>I11+J11/(1-$B$15)</s:f>
        <s:v>10631.594117647062</s:v>
      </s:c>
    </s:row>
    <s:row r="12">
      <s:c r="A12" s="19">
        <s:f>CDF!C12</s:f>
        <s:v>8870.5</s:v>
      </s:c>
      <s:c r="B12" s="11">
        <s:f>SUMIF(Data!$E$8:$E$17,"&gt;"&amp;A12,Data!$H$8:$H$17)-A12*SUMIF(Data!$E$8:$E$17,"&gt;"&amp;A12,Data!$B$8:$B$17)</s:f>
        <s:v>241.9314285714289</s:v>
      </s:c>
      <s:c r="C12" s="11">
        <s:f>A12+B12/(1-$B$15)</s:f>
        <s:v>11289.81428571429</s:v>
      </s:c>
      <s:c r="E12" s="19">
        <s:f>CDF!I12</s:f>
        <s:v>7502.5</s:v>
      </s:c>
      <s:c r="F12" s="11">
        <s:f>SUMIF(Data!$F$8:$F$17,"&gt;"&amp;E12,Data!$I$8:$I$17)-E12*SUMIF(Data!$F$8:$F$17,"&gt;"&amp;E12,Data!$B$8:$B$17)</s:f>
        <s:v>309.86666666666645</s:v>
      </s:c>
      <s:c r="G12" s="11">
        <s:f>E12+F12/(1-$B$15)</s:f>
        <s:v>10601.166666666664</s:v>
      </s:c>
      <s:c r="I12" s="19">
        <s:f>CDF!O12</s:f>
        <s:v>7343.970588235295</s:v>
      </s:c>
      <s:c r="J12" s="11">
        <s:f>SUMIF(Data!$G$8:$G$17,"&gt;"&amp;I12,Data!$J$8:$J$17)-I12*SUMIF(Data!$G$8:$G$17,"&gt;"&amp;I12,Data!$B$8:$B$17)</s:f>
        <s:v>297.95294117647086</s:v>
      </s:c>
      <s:c r="K12" s="11">
        <s:f>I12+J12/(1-$B$15)</s:f>
        <s:v>10323.500000000004</s:v>
      </s:c>
    </s:row>
    <s:row r="13">
      <s:c r="A13" s="19">
        <s:f>CDF!C13</s:f>
        <s:v>11894.64285714286</s:v>
      </s:c>
      <s:c r="B13" s="11">
        <s:f>SUMIF(Data!$E$8:$E$17,"&gt;"&amp;A13,Data!$H$8:$H$17)-A13*SUMIF(Data!$E$8:$E$17,"&gt;"&amp;A13,Data!$B$8:$B$17)</s:f>
        <s:v>0.0</s:v>
      </s:c>
      <s:c r="C13" s="11">
        <s:f>A13+B13/(1-$B$15)</s:f>
        <s:v>11894.64285714286</s:v>
      </s:c>
      <s:c r="E13" s="19">
        <s:f>CDF!I13</s:f>
        <s:v>11375.83333333333</s:v>
      </s:c>
      <s:c r="F13" s="11">
        <s:f>SUMIF(Data!$F$8:$F$17,"&gt;"&amp;E13,Data!$I$8:$I$17)-E13*SUMIF(Data!$F$8:$F$17,"&gt;"&amp;E13,Data!$B$8:$B$17)</s:f>
        <s:v>0.0</s:v>
      </s:c>
      <s:c r="G13" s="11">
        <s:f>E13+F13/(1-$B$15)</s:f>
        <s:v>11375.83333333333</s:v>
      </s:c>
      <s:c r="I13" s="19">
        <s:f>CDF!O13</s:f>
        <s:v>11068.38235294118</s:v>
      </s:c>
      <s:c r="J13" s="11">
        <s:f>SUMIF(Data!$G$8:$G$17,"&gt;"&amp;I13,Data!$J$8:$J$17)-I13*SUMIF(Data!$G$8:$G$17,"&gt;"&amp;I13,Data!$B$8:$B$17)</s:f>
        <s:v>0.0</s:v>
      </s:c>
      <s:c r="K13" s="11">
        <s:f>I13+J13/(1-$B$15)</s:f>
        <s:v>11068.38235294118</s:v>
      </s:c>
    </s:row>
    <s:row r="15">
      <s:c r="A15" s="3" t="inlineStr">
        <s:is>
          <s:t>alpha</s:t>
        </s:is>
      </s:c>
      <s:c r="B15" s="7" t="n">
        <s:v>0.9</s:v>
      </s:c>
      <s:c r="C15" s="4" t="inlineStr">
        <s:is>
          <s:t>CVaR confidence level, referenced by every bracket formula above</s:t>
        </s:is>
      </s:c>
    </s:row>
  </s:sheetData>
  <s:pageMargins left="0.75" right="0.75" top="1" bottom="1" header="0.5" footer="0.5"/>
</s:worksheet>
</file>

<file path=xl/worksheets/sheet4.xml><?xml version="1.0" encoding="utf-8"?>
<s:worksheet xmlns:s="http://schemas.openxmlformats.org/spreadsheetml/2006/main">
  <s:sheetPr>
    <s:outlinePr summaryBelow="1" summaryRight="1"/>
    <s:pageSetUpPr/>
  </s:sheetPr>
  <s:dimension ref="A1:H23"/>
  <s:sheetViews>
    <s:sheetView showGridLines="0" workbookViewId="0">
      <s:selection activeCell="A1" sqref="A1"/>
    </s:sheetView>
  </s:sheetViews>
  <s:sheetFormatPr baseColWidth="8" defaultRowHeight="15"/>
  <s:cols>
    <s:col width="13" customWidth="1" min="1" max="1"/>
    <s:col width="13" customWidth="1" min="2" max="2"/>
    <s:col width="3" customWidth="1" min="3" max="3"/>
    <s:col width="13" customWidth="1" min="4" max="4"/>
    <s:col width="13" customWidth="1" min="5" max="5"/>
    <s:col width="3" customWidth="1" min="6" max="6"/>
    <s:col width="13" customWidth="1" min="7" max="7"/>
    <s:col width="13" customWidth="1" min="8" max="8"/>
    <s:col width="3" customWidth="1" min="9" max="9"/>
  </s:cols>
  <s:sheetData>
    <s:row r="1">
      <s:c r="A1" s="1" t="inlineStr">
        <s:is>
          <s:t>Step-expanded series for the chart</s:t>
        </s:is>
      </s:c>
    </s:row>
    <s:row r="2">
      <s:c r="A2" s="3" t="inlineStr">
        <s:is>
          <s:t>risk-neutral</s:t>
        </s:is>
      </s:c>
      <s:c r="D2" s="3" t="inlineStr">
        <s:is>
          <s:t>chance-constrained</s:t>
        </s:is>
      </s:c>
      <s:c r="G2" s="3" t="inlineStr">
        <s:is>
          <s:t>chance + CVaR</s:t>
        </s:is>
      </s:c>
    </s:row>
    <s:row r="3">
      <s:c r="A3" s="5" t="inlineStr">
        <s:is>
          <s:t>Total cost</s:t>
        </s:is>
      </s:c>
      <s:c r="B3" s="5" t="inlineStr">
        <s:is>
          <s:t>Cumulative</s:t>
        </s:is>
      </s:c>
      <s:c r="D3" s="5" t="inlineStr">
        <s:is>
          <s:t>Total cost</s:t>
        </s:is>
      </s:c>
      <s:c r="E3" s="5" t="inlineStr">
        <s:is>
          <s:t>Cumulative</s:t>
        </s:is>
      </s:c>
      <s:c r="G3" s="5" t="inlineStr">
        <s:is>
          <s:t>Total cost</s:t>
        </s:is>
      </s:c>
      <s:c r="H3" s="5" t="inlineStr">
        <s:is>
          <s:t>Cumulative</s:t>
        </s:is>
      </s:c>
    </s:row>
    <s:row r="4">
      <s:c r="A4" s="22">
        <s:f>CDF!$C$4</s:f>
        <s:v>5032.142857142857</s:v>
      </s:c>
      <s:c r="B4" s="23" t="n">
        <s:v>0</s:v>
      </s:c>
      <s:c r="D4" s="22">
        <s:f>CDF!$I$4</s:f>
        <s:v>5975.0</s:v>
      </s:c>
      <s:c r="E4" s="23" t="n">
        <s:v>0</s:v>
      </s:c>
      <s:c r="G4" s="22">
        <s:f>CDF!$O$4</s:f>
        <s:v>6407.352941176471</s:v>
      </s:c>
      <s:c r="H4" s="23" t="n">
        <s:v>0</s:v>
      </s:c>
    </s:row>
    <s:row r="5">
      <s:c r="A5" s="22">
        <s:f>CDF!$C$4</s:f>
        <s:v>5032.142857142857</s:v>
      </s:c>
      <s:c r="B5" s="23">
        <s:f>CDF!$E$4</s:f>
        <s:v>0.1254</s:v>
      </s:c>
      <s:c r="D5" s="22">
        <s:f>CDF!$I$4</s:f>
        <s:v>5975.0</s:v>
      </s:c>
      <s:c r="E5" s="23">
        <s:f>CDF!$K$4</s:f>
        <s:v>0.1254</s:v>
      </s:c>
      <s:c r="G5" s="22">
        <s:f>CDF!$O$4</s:f>
        <s:v>6407.352941176471</s:v>
      </s:c>
      <s:c r="H5" s="23">
        <s:f>CDF!$Q$4</s:f>
        <s:v>0.1254</s:v>
      </s:c>
    </s:row>
    <s:row r="6">
      <s:c r="A6" s="22">
        <s:f>CDF!$C$5</s:f>
        <s:v>5097.642857142857</s:v>
      </s:c>
      <s:c r="B6" s="23">
        <s:f>CDF!$E$4</s:f>
        <s:v>0.1254</s:v>
      </s:c>
      <s:c r="D6" s="22">
        <s:f>CDF!$I$5</s:f>
        <s:v>6040.0</s:v>
      </s:c>
      <s:c r="E6" s="23">
        <s:f>CDF!$K$4</s:f>
        <s:v>0.1254</s:v>
      </s:c>
      <s:c r="G6" s="22">
        <s:f>CDF!$O$5</s:f>
        <s:v>6472.352941176471</s:v>
      </s:c>
      <s:c r="H6" s="23">
        <s:f>CDF!$Q$4</s:f>
        <s:v>0.1254</s:v>
      </s:c>
    </s:row>
    <s:row r="7">
      <s:c r="A7" s="22">
        <s:f>CDF!$C$5</s:f>
        <s:v>5097.642857142857</s:v>
      </s:c>
      <s:c r="B7" s="23">
        <s:f>CDF!$E$5</s:f>
        <s:v>0.22640000000000002</s:v>
      </s:c>
      <s:c r="D7" s="22">
        <s:f>CDF!$I$5</s:f>
        <s:v>6040.0</s:v>
      </s:c>
      <s:c r="E7" s="23">
        <s:f>CDF!$K$5</s:f>
        <s:v>0.22640000000000002</s:v>
      </s:c>
      <s:c r="G7" s="22">
        <s:f>CDF!$O$5</s:f>
        <s:v>6472.352941176471</s:v>
      </s:c>
      <s:c r="H7" s="23">
        <s:f>CDF!$Q$5</s:f>
        <s:v>0.22640000000000002</s:v>
      </s:c>
    </s:row>
    <s:row r="8">
      <s:c r="A8" s="22">
        <s:f>CDF!$C$6</s:f>
        <s:v>5187.142857142857</s:v>
      </s:c>
      <s:c r="B8" s="23">
        <s:f>CDF!$E$5</s:f>
        <s:v>0.22640000000000002</s:v>
      </s:c>
      <s:c r="D8" s="22">
        <s:f>CDF!$I$6</s:f>
        <s:v>6090.0</s:v>
      </s:c>
      <s:c r="E8" s="23">
        <s:f>CDF!$K$5</s:f>
        <s:v>0.22640000000000002</s:v>
      </s:c>
      <s:c r="G8" s="22">
        <s:f>CDF!$O$6</s:f>
        <s:v>6522.352941176471</s:v>
      </s:c>
      <s:c r="H8" s="23">
        <s:f>CDF!$Q$5</s:f>
        <s:v>0.22640000000000002</s:v>
      </s:c>
    </s:row>
    <s:row r="9">
      <s:c r="A9" s="22">
        <s:f>CDF!$C$6</s:f>
        <s:v>5187.142857142857</s:v>
      </s:c>
      <s:c r="B9" s="23">
        <s:f>CDF!$E$6</s:f>
        <s:v>0.3328</s:v>
      </s:c>
      <s:c r="D9" s="22">
        <s:f>CDF!$I$6</s:f>
        <s:v>6090.0</s:v>
      </s:c>
      <s:c r="E9" s="23">
        <s:f>CDF!$K$6</s:f>
        <s:v>0.3328</s:v>
      </s:c>
      <s:c r="G9" s="22">
        <s:f>CDF!$O$6</s:f>
        <s:v>6522.352941176471</s:v>
      </s:c>
      <s:c r="H9" s="23">
        <s:f>CDF!$Q$6</s:f>
        <s:v>0.3328</s:v>
      </s:c>
    </s:row>
    <s:row r="10">
      <s:c r="A10" s="22">
        <s:f>CDF!$C$7</s:f>
        <s:v>5299.642857142857</s:v>
      </s:c>
      <s:c r="B10" s="23">
        <s:f>CDF!$E$6</s:f>
        <s:v>0.3328</s:v>
      </s:c>
      <s:c r="D10" s="22">
        <s:f>CDF!$I$7</s:f>
        <s:v>6197.5</s:v>
      </s:c>
      <s:c r="E10" s="23">
        <s:f>CDF!$K$6</s:f>
        <s:v>0.3328</s:v>
      </s:c>
      <s:c r="G10" s="22">
        <s:f>CDF!$O$7</s:f>
        <s:v>6629.852941176471</s:v>
      </s:c>
      <s:c r="H10" s="23">
        <s:f>CDF!$Q$6</s:f>
        <s:v>0.3328</s:v>
      </s:c>
    </s:row>
    <s:row r="11">
      <s:c r="A11" s="22">
        <s:f>CDF!$C$7</s:f>
        <s:v>5299.642857142857</s:v>
      </s:c>
      <s:c r="B11" s="23">
        <s:f>CDF!$E$7</s:f>
        <s:v>0.43119999999999997</s:v>
      </s:c>
      <s:c r="D11" s="22">
        <s:f>CDF!$I$7</s:f>
        <s:v>6197.5</s:v>
      </s:c>
      <s:c r="E11" s="23">
        <s:f>CDF!$K$7</s:f>
        <s:v>0.43119999999999997</s:v>
      </s:c>
      <s:c r="G11" s="22">
        <s:f>CDF!$O$7</s:f>
        <s:v>6629.852941176471</s:v>
      </s:c>
      <s:c r="H11" s="23">
        <s:f>CDF!$Q$7</s:f>
        <s:v>0.43119999999999997</s:v>
      </s:c>
    </s:row>
    <s:row r="12">
      <s:c r="A12" s="22">
        <s:f>CDF!$C$8</s:f>
        <s:v>5340.142857142857</s:v>
      </s:c>
      <s:c r="B12" s="23">
        <s:f>CDF!$E$7</s:f>
        <s:v>0.43119999999999997</s:v>
      </s:c>
      <s:c r="D12" s="22">
        <s:f>CDF!$I$8</s:f>
        <s:v>6231.0</s:v>
      </s:c>
      <s:c r="E12" s="23">
        <s:f>CDF!$K$7</s:f>
        <s:v>0.43119999999999997</s:v>
      </s:c>
      <s:c r="G12" s="22">
        <s:f>CDF!$O$8</s:f>
        <s:v>6663.352941176471</s:v>
      </s:c>
      <s:c r="H12" s="23">
        <s:f>CDF!$Q$7</s:f>
        <s:v>0.43119999999999997</s:v>
      </s:c>
    </s:row>
    <s:row r="13">
      <s:c r="A13" s="22">
        <s:f>CDF!$C$8</s:f>
        <s:v>5340.142857142857</s:v>
      </s:c>
      <s:c r="B13" s="23">
        <s:f>CDF!$E$8</s:f>
        <s:v>0.5332</s:v>
      </s:c>
      <s:c r="D13" s="22">
        <s:f>CDF!$I$8</s:f>
        <s:v>6231.0</s:v>
      </s:c>
      <s:c r="E13" s="23">
        <s:f>CDF!$K$8</s:f>
        <s:v>0.5332</s:v>
      </s:c>
      <s:c r="G13" s="22">
        <s:f>CDF!$O$8</s:f>
        <s:v>6663.352941176471</s:v>
      </s:c>
      <s:c r="H13" s="23">
        <s:f>CDF!$Q$8</s:f>
        <s:v>0.5332</s:v>
      </s:c>
    </s:row>
    <s:row r="14">
      <s:c r="A14" s="22">
        <s:f>CDF!$C$9</s:f>
        <s:v>5604.178571428571</s:v>
      </s:c>
      <s:c r="B14" s="23">
        <s:f>CDF!$E$8</s:f>
        <s:v>0.5332</s:v>
      </s:c>
      <s:c r="D14" s="22">
        <s:f>CDF!$I$9</s:f>
        <s:v>6279.5</s:v>
      </s:c>
      <s:c r="E14" s="23">
        <s:f>CDF!$K$8</s:f>
        <s:v>0.5332</s:v>
      </s:c>
      <s:c r="G14" s="22">
        <s:f>CDF!$O$9</s:f>
        <s:v>6711.852941176471</s:v>
      </s:c>
      <s:c r="H14" s="23">
        <s:f>CDF!$Q$8</s:f>
        <s:v>0.5332</s:v>
      </s:c>
    </s:row>
    <s:row r="15">
      <s:c r="A15" s="22">
        <s:f>CDF!$C$9</s:f>
        <s:v>5604.178571428571</s:v>
      </s:c>
      <s:c r="B15" s="23">
        <s:f>CDF!$E$9</s:f>
        <s:v>0.6314</s:v>
      </s:c>
      <s:c r="D15" s="22">
        <s:f>CDF!$I$9</s:f>
        <s:v>6279.5</s:v>
      </s:c>
      <s:c r="E15" s="23">
        <s:f>CDF!$K$9</s:f>
        <s:v>0.6314</s:v>
      </s:c>
      <s:c r="G15" s="22">
        <s:f>CDF!$O$9</s:f>
        <s:v>6711.852941176471</s:v>
      </s:c>
      <s:c r="H15" s="23">
        <s:f>CDF!$Q$9</s:f>
        <s:v>0.6314</s:v>
      </s:c>
    </s:row>
    <s:row r="16">
      <s:c r="A16" s="22">
        <s:f>CDF!$C$10</s:f>
        <s:v>6338.857142857142</s:v>
      </s:c>
      <s:c r="B16" s="23">
        <s:f>CDF!$E$9</s:f>
        <s:v>0.6314</s:v>
      </s:c>
      <s:c r="D16" s="22">
        <s:f>CDF!$I$10</s:f>
        <s:v>6365.625</s:v>
      </s:c>
      <s:c r="E16" s="23">
        <s:f>CDF!$K$9</s:f>
        <s:v>0.6314</s:v>
      </s:c>
      <s:c r="G16" s="22">
        <s:f>CDF!$O$10</s:f>
        <s:v>6777.352941176471</s:v>
      </s:c>
      <s:c r="H16" s="23">
        <s:f>CDF!$Q$9</s:f>
        <s:v>0.6314</s:v>
      </s:c>
    </s:row>
    <s:row r="17">
      <s:c r="A17" s="22">
        <s:f>CDF!$C$10</s:f>
        <s:v>6338.857142857142</s:v>
      </s:c>
      <s:c r="B17" s="23">
        <s:f>CDF!$E$10</s:f>
        <s:v>0.7367999999999999</s:v>
      </s:c>
      <s:c r="D17" s="22">
        <s:f>CDF!$I$10</s:f>
        <s:v>6365.625</s:v>
      </s:c>
      <s:c r="E17" s="23">
        <s:f>CDF!$K$10</s:f>
        <s:v>0.7367999999999999</s:v>
      </s:c>
      <s:c r="G17" s="22">
        <s:f>CDF!$O$10</s:f>
        <s:v>6777.352941176471</s:v>
      </s:c>
      <s:c r="H17" s="23">
        <s:f>CDF!$Q$10</s:f>
        <s:v>0.7367999999999999</s:v>
      </s:c>
    </s:row>
    <s:row r="18">
      <s:c r="A18" s="22">
        <s:f>CDF!$C$11</s:f>
        <s:v>7522.214285714285</s:v>
      </s:c>
      <s:c r="B18" s="23">
        <s:f>CDF!$E$10</s:f>
        <s:v>0.7367999999999999</s:v>
      </s:c>
      <s:c r="D18" s="22">
        <s:f>CDF!$I$11</s:f>
        <s:v>6863.041666666667</s:v>
      </s:c>
      <s:c r="E18" s="23">
        <s:f>CDF!$K$10</s:f>
        <s:v>0.7367999999999999</s:v>
      </s:c>
      <s:c r="G18" s="22">
        <s:f>CDF!$O$11</s:f>
        <s:v>6958.852941176471</s:v>
      </s:c>
      <s:c r="H18" s="23">
        <s:f>CDF!$Q$10</s:f>
        <s:v>0.7367999999999999</s:v>
      </s:c>
    </s:row>
    <s:row r="19">
      <s:c r="A19" s="22">
        <s:f>CDF!$C$11</s:f>
        <s:v>7522.214285714285</s:v>
      </s:c>
      <s:c r="B19" s="23">
        <s:f>CDF!$E$11</s:f>
        <s:v>0.8347999999999999</s:v>
      </s:c>
      <s:c r="D19" s="22">
        <s:f>CDF!$I$11</s:f>
        <s:v>6863.041666666667</s:v>
      </s:c>
      <s:c r="E19" s="23">
        <s:f>CDF!$K$11</s:f>
        <s:v>0.8347999999999999</s:v>
      </s:c>
      <s:c r="G19" s="22">
        <s:f>CDF!$O$11</s:f>
        <s:v>6958.852941176471</s:v>
      </s:c>
      <s:c r="H19" s="23">
        <s:f>CDF!$Q$11</s:f>
        <s:v>0.8347999999999999</s:v>
      </s:c>
    </s:row>
    <s:row r="20">
      <s:c r="A20" s="22">
        <s:f>CDF!$C$12</s:f>
        <s:v>8870.5</s:v>
      </s:c>
      <s:c r="B20" s="23">
        <s:f>CDF!$E$11</s:f>
        <s:v>0.8347999999999999</s:v>
      </s:c>
      <s:c r="D20" s="22">
        <s:f>CDF!$I$12</s:f>
        <s:v>7502.5</s:v>
      </s:c>
      <s:c r="E20" s="23">
        <s:f>CDF!$K$11</s:f>
        <s:v>0.8347999999999999</s:v>
      </s:c>
      <s:c r="G20" s="22">
        <s:f>CDF!$O$12</s:f>
        <s:v>7343.970588235295</s:v>
      </s:c>
      <s:c r="H20" s="23">
        <s:f>CDF!$Q$11</s:f>
        <s:v>0.8347999999999999</s:v>
      </s:c>
    </s:row>
    <s:row r="21">
      <s:c r="A21" s="22">
        <s:f>CDF!$C$12</s:f>
        <s:v>8870.5</s:v>
      </s:c>
      <s:c r="B21" s="23">
        <s:f>CDF!$E$12</s:f>
        <s:v>0.9233999999999999</s:v>
      </s:c>
      <s:c r="D21" s="22">
        <s:f>CDF!$I$12</s:f>
        <s:v>7502.5</s:v>
      </s:c>
      <s:c r="E21" s="23">
        <s:f>CDF!$K$12</s:f>
        <s:v>0.9233999999999999</s:v>
      </s:c>
      <s:c r="G21" s="22">
        <s:f>CDF!$O$12</s:f>
        <s:v>7343.970588235295</s:v>
      </s:c>
      <s:c r="H21" s="23">
        <s:f>CDF!$Q$12</s:f>
        <s:v>0.9233999999999999</s:v>
      </s:c>
    </s:row>
    <s:row r="22">
      <s:c r="A22" s="22">
        <s:f>CDF!$C$13</s:f>
        <s:v>11894.64285714286</s:v>
      </s:c>
      <s:c r="B22" s="23">
        <s:f>CDF!$E$12</s:f>
        <s:v>0.9233999999999999</s:v>
      </s:c>
      <s:c r="D22" s="22">
        <s:f>CDF!$I$13</s:f>
        <s:v>11375.83333333333</s:v>
      </s:c>
      <s:c r="E22" s="23">
        <s:f>CDF!$K$12</s:f>
        <s:v>0.9233999999999999</s:v>
      </s:c>
      <s:c r="G22" s="22">
        <s:f>CDF!$O$13</s:f>
        <s:v>11068.38235294118</s:v>
      </s:c>
      <s:c r="H22" s="23">
        <s:f>CDF!$Q$12</s:f>
        <s:v>0.9233999999999999</s:v>
      </s:c>
    </s:row>
    <s:row r="23">
      <s:c r="A23" s="22">
        <s:f>CDF!$C$13</s:f>
        <s:v>11894.64285714286</s:v>
      </s:c>
      <s:c r="B23" s="23">
        <s:f>CDF!$E$13</s:f>
        <s:v>0.9999999999999999</s:v>
      </s:c>
      <s:c r="D23" s="22">
        <s:f>CDF!$I$13</s:f>
        <s:v>11375.83333333333</s:v>
      </s:c>
      <s:c r="E23" s="23">
        <s:f>CDF!$K$13</s:f>
        <s:v>0.9999999999999999</s:v>
      </s:c>
      <s:c r="G23" s="22">
        <s:f>CDF!$O$13</s:f>
        <s:v>11068.38235294118</s:v>
      </s:c>
      <s:c r="H23" s="23">
        <s:f>CDF!$Q$13</s:f>
        <s:v>0.9999999999999999</s:v>
      </s:c>
    </s:row>
  </s:sheetData>
  <s:pageMargins left="0.75" right="0.75" top="1" bottom="1" header="0.5" footer="0.5"/>
</s: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2026-10-13T23:37:48Z</dcterms:created>
  <dcterms:modified xsi:type="dcterms:W3CDTF">2026-10-13T23:37:48Z</dcterms:modified>
</cp:coreProperties>
</file>